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fileSharing readOnlyRecommended="1"/>
  <workbookPr filterPrivacy="1" codeName="ThisWorkbook"/>
  <xr:revisionPtr revIDLastSave="0" documentId="13_ncr:1_{55209A6D-91BF-4132-8AD1-D24971464B50}" xr6:coauthVersionLast="47" xr6:coauthVersionMax="47" xr10:uidLastSave="{00000000-0000-0000-0000-000000000000}"/>
  <bookViews>
    <workbookView xWindow="21300" yWindow="-120" windowWidth="28110" windowHeight="16440" tabRatio="773" firstSheet="11" activeTab="22" xr2:uid="{00000000-000D-0000-FFFF-FFFF00000000}"/>
  </bookViews>
  <sheets>
    <sheet name="表紙" sheetId="1" r:id="rId1"/>
    <sheet name="設定" sheetId="50" r:id="rId2"/>
    <sheet name="ER図-RDB" sheetId="115" r:id="rId3"/>
    <sheet name="ER図" sheetId="116" r:id="rId4"/>
    <sheet name="テーブル一覧" sheetId="36" r:id="rId5"/>
    <sheet name="ﾃﾞｰﾀ種別IDﾏｽﾀ" sheetId="108" r:id="rId6"/>
    <sheet name="業務ｽﾍﾟｼｬﾘｽﾄﾏｽﾀ" sheetId="112" r:id="rId7"/>
    <sheet name="ｹｰｽ管理ID変換" sheetId="69" r:id="rId8"/>
    <sheet name="再計算ﾌﾗｸﾞ" sheetId="106" r:id="rId9"/>
    <sheet name="ﾘｽｸﾎﾟｲﾝﾄ" sheetId="68" r:id="rId10"/>
    <sheet name="ｲﾝｼﾃﾞﾝﾄ緊急度" sheetId="103" r:id="rId11"/>
    <sheet name="ｴｽｶ緊急度" sheetId="113" r:id="rId12"/>
    <sheet name="ﾃﾞｰﾀ種別ID変換" sheetId="111" r:id="rId13"/>
    <sheet name="経営ﾘｽｸ" sheetId="105" r:id="rId14"/>
    <sheet name="経営ﾘｽｸﾋﾞｭｰ" sheetId="117" r:id="rId15"/>
    <sheet name="経営ﾘｽｸｲﾝﾃﾞｯｸｽ" sheetId="110" r:id="rId16"/>
    <sheet name="教師ﾃﾞｰﾀ" sheetId="101" r:id="rId17"/>
    <sheet name="説明定数ﾏｽﾀ" sheetId="99" r:id="rId18"/>
    <sheet name="ｲﾝｼﾃﾞﾝﾄ緊急度ﾏｽﾀ" sheetId="114" r:id="rId19"/>
    <sheet name="ｴｽｶ緊急度ﾏｽﾀ" sheetId="100" r:id="rId20"/>
    <sheet name="命名規約" sheetId="33" r:id="rId21"/>
    <sheet name="log" sheetId="45" r:id="rId22"/>
    <sheet name="CREATETABLE出力" sheetId="44" r:id="rId23"/>
    <sheet name="PGM出力" sheetId="43" r:id="rId24"/>
  </sheets>
  <functionGroups builtInGroupCount="19"/>
  <definedNames>
    <definedName name="_xlnm.Print_Area" localSheetId="3">ER図!$A$1:$AK$183</definedName>
    <definedName name="_xlnm.Print_Area" localSheetId="2">'ER図-RDB'!$A$1:$AK$183</definedName>
    <definedName name="_xlnm.Print_Area" localSheetId="10">ｲﾝｼﾃﾞﾝﾄ緊急度!$A$1:$Y$43</definedName>
    <definedName name="_xlnm.Print_Area" localSheetId="18">ｲﾝｼﾃﾞﾝﾄ緊急度ﾏｽﾀ!$A$1:$Y$43</definedName>
    <definedName name="_xlnm.Print_Area" localSheetId="11">ｴｽｶ緊急度!$A$1:$Y$43</definedName>
    <definedName name="_xlnm.Print_Area" localSheetId="19">ｴｽｶ緊急度ﾏｽﾀ!$A$1:$Y$43</definedName>
    <definedName name="_xlnm.Print_Area" localSheetId="7">ｹｰｽ管理ID変換!$A$1:$Y$43</definedName>
    <definedName name="_xlnm.Print_Area" localSheetId="5">ﾃﾞｰﾀ種別IDﾏｽﾀ!$A$1:$Y$43</definedName>
    <definedName name="_xlnm.Print_Area" localSheetId="12">ﾃﾞｰﾀ種別ID変換!$A$1:$Y$43</definedName>
    <definedName name="_xlnm.Print_Area" localSheetId="4">テーブル一覧!$A$1:$Y$43</definedName>
    <definedName name="_xlnm.Print_Area" localSheetId="9">ﾘｽｸﾎﾟｲﾝﾄ!$A$1:$Y$43</definedName>
    <definedName name="_xlnm.Print_Area" localSheetId="16">教師ﾃﾞｰﾀ!$A$1:$Y$43</definedName>
    <definedName name="_xlnm.Print_Area" localSheetId="6">業務ｽﾍﾟｼｬﾘｽﾄﾏｽﾀ!$A$1:$Y$43</definedName>
    <definedName name="_xlnm.Print_Area" localSheetId="13">経営ﾘｽｸ!$A$1:$Y$43</definedName>
    <definedName name="_xlnm.Print_Area" localSheetId="15">経営ﾘｽｸｲﾝﾃﾞｯｸｽ!$A$1:$Y$43</definedName>
    <definedName name="_xlnm.Print_Area" localSheetId="14">経営ﾘｽｸﾋﾞｭｰ!$A$1:$Y$43</definedName>
    <definedName name="_xlnm.Print_Area" localSheetId="8">再計算ﾌﾗｸﾞ!$A$1:$Y$43</definedName>
    <definedName name="_xlnm.Print_Area" localSheetId="17">説明定数ﾏｽﾀ!$A$1:$Y$43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37" i="117" l="1"/>
  <c r="AB37" i="117" s="1"/>
  <c r="Z37" i="117"/>
  <c r="AA36" i="117"/>
  <c r="AB36" i="117" s="1"/>
  <c r="Z36" i="117"/>
  <c r="AA35" i="117"/>
  <c r="AB35" i="117" s="1"/>
  <c r="Z35" i="117"/>
  <c r="AA34" i="117"/>
  <c r="AB34" i="117" s="1"/>
  <c r="Z34" i="117"/>
  <c r="AA33" i="117"/>
  <c r="AB33" i="117" s="1"/>
  <c r="Z33" i="117"/>
  <c r="AA32" i="117"/>
  <c r="AB32" i="117" s="1"/>
  <c r="Z32" i="117"/>
  <c r="AA31" i="117"/>
  <c r="AB31" i="117" s="1"/>
  <c r="Z31" i="117"/>
  <c r="AA30" i="117"/>
  <c r="AB30" i="117" s="1"/>
  <c r="Z30" i="117"/>
  <c r="AA29" i="117"/>
  <c r="AB29" i="117" s="1"/>
  <c r="Z29" i="117"/>
  <c r="AA28" i="117"/>
  <c r="AB28" i="117" s="1"/>
  <c r="Z28" i="117"/>
  <c r="AA27" i="117"/>
  <c r="AB27" i="117" s="1"/>
  <c r="Z27" i="117"/>
  <c r="AA26" i="117"/>
  <c r="AB26" i="117" s="1"/>
  <c r="Z26" i="117"/>
  <c r="AA25" i="117"/>
  <c r="AB25" i="117" s="1"/>
  <c r="Z25" i="117"/>
  <c r="AA24" i="117"/>
  <c r="AB24" i="117" s="1"/>
  <c r="Z24" i="117"/>
  <c r="AA23" i="117"/>
  <c r="AB23" i="117" s="1"/>
  <c r="Z23" i="117"/>
  <c r="AA22" i="117"/>
  <c r="AB22" i="117" s="1"/>
  <c r="Z22" i="117"/>
  <c r="AA21" i="117"/>
  <c r="AB21" i="117" s="1"/>
  <c r="Z21" i="117"/>
  <c r="AA20" i="117"/>
  <c r="AB20" i="117" s="1"/>
  <c r="Z20" i="117"/>
  <c r="AA19" i="117"/>
  <c r="AB19" i="117" s="1"/>
  <c r="Z19" i="117"/>
  <c r="AA18" i="117"/>
  <c r="AB18" i="117" s="1"/>
  <c r="Z18" i="117"/>
  <c r="AA17" i="117"/>
  <c r="AB17" i="117" s="1"/>
  <c r="Z17" i="117"/>
  <c r="AA16" i="117"/>
  <c r="AB16" i="117" s="1"/>
  <c r="Z16" i="117"/>
  <c r="AA15" i="117"/>
  <c r="AB15" i="117" s="1"/>
  <c r="Z15" i="117"/>
  <c r="AA14" i="117"/>
  <c r="AB14" i="117" s="1"/>
  <c r="Z14" i="117"/>
  <c r="AA13" i="117"/>
  <c r="AB13" i="117" s="1"/>
  <c r="Z13" i="117"/>
  <c r="AA12" i="117"/>
  <c r="AB12" i="117" s="1"/>
  <c r="Z12" i="117"/>
  <c r="AA11" i="117"/>
  <c r="AB11" i="117" s="1"/>
  <c r="Z11" i="117"/>
  <c r="AA10" i="117"/>
  <c r="AB10" i="117" s="1"/>
  <c r="Z10" i="117"/>
  <c r="B10" i="117"/>
  <c r="B11" i="117" s="1"/>
  <c r="B12" i="117" s="1"/>
  <c r="B13" i="117" s="1"/>
  <c r="B14" i="117" s="1"/>
  <c r="B15" i="117" s="1"/>
  <c r="B16" i="117" s="1"/>
  <c r="B17" i="117" s="1"/>
  <c r="B18" i="117" s="1"/>
  <c r="B19" i="117" s="1"/>
  <c r="B20" i="117" s="1"/>
  <c r="B21" i="117" s="1"/>
  <c r="B22" i="117" s="1"/>
  <c r="B23" i="117" s="1"/>
  <c r="B24" i="117" s="1"/>
  <c r="B25" i="117" s="1"/>
  <c r="B26" i="117" s="1"/>
  <c r="B27" i="117" s="1"/>
  <c r="B28" i="117" s="1"/>
  <c r="B29" i="117" s="1"/>
  <c r="B30" i="117" s="1"/>
  <c r="B31" i="117" s="1"/>
  <c r="B32" i="117" s="1"/>
  <c r="B33" i="117" s="1"/>
  <c r="B34" i="117" s="1"/>
  <c r="B35" i="117" s="1"/>
  <c r="B36" i="117" s="1"/>
  <c r="B37" i="117" s="1"/>
  <c r="AA9" i="117"/>
  <c r="AB9" i="117" s="1"/>
  <c r="Z9" i="117"/>
  <c r="B9" i="117"/>
  <c r="AA8" i="117"/>
  <c r="AB8" i="117" s="1"/>
  <c r="Z8" i="117"/>
  <c r="C3" i="117"/>
  <c r="AI124" i="116"/>
  <c r="AG124" i="116"/>
  <c r="J123" i="116"/>
  <c r="AI63" i="116"/>
  <c r="AG63" i="116"/>
  <c r="AD63" i="116"/>
  <c r="AD124" i="116" s="1"/>
  <c r="AB63" i="116"/>
  <c r="AB124" i="116" s="1"/>
  <c r="J63" i="116"/>
  <c r="J124" i="116" s="1"/>
  <c r="J62" i="116"/>
  <c r="AD124" i="115"/>
  <c r="AI63" i="115"/>
  <c r="AI124" i="115" s="1"/>
  <c r="AG63" i="115"/>
  <c r="AG124" i="115" s="1"/>
  <c r="AD63" i="115"/>
  <c r="AB63" i="115"/>
  <c r="AB124" i="115" s="1"/>
  <c r="J63" i="115"/>
  <c r="J124" i="115" s="1"/>
  <c r="J62" i="115"/>
  <c r="J123" i="115" s="1"/>
  <c r="AA37" i="114"/>
  <c r="AB37" i="114" s="1"/>
  <c r="Z37" i="114"/>
  <c r="AA36" i="114"/>
  <c r="AB36" i="114" s="1"/>
  <c r="Z36" i="114"/>
  <c r="AA35" i="114"/>
  <c r="AB35" i="114" s="1"/>
  <c r="Z35" i="114"/>
  <c r="AA34" i="114"/>
  <c r="AB34" i="114" s="1"/>
  <c r="Z34" i="114"/>
  <c r="AA33" i="114"/>
  <c r="AB33" i="114" s="1"/>
  <c r="Z33" i="114"/>
  <c r="AA32" i="114"/>
  <c r="AB32" i="114" s="1"/>
  <c r="Z32" i="114"/>
  <c r="AA31" i="114"/>
  <c r="AB31" i="114" s="1"/>
  <c r="Z31" i="114"/>
  <c r="AA30" i="114"/>
  <c r="AB30" i="114" s="1"/>
  <c r="Z30" i="114"/>
  <c r="AA29" i="114"/>
  <c r="AB29" i="114" s="1"/>
  <c r="Z29" i="114"/>
  <c r="AA28" i="114"/>
  <c r="AB28" i="114" s="1"/>
  <c r="Z28" i="114"/>
  <c r="AA27" i="114"/>
  <c r="AB27" i="114" s="1"/>
  <c r="Z27" i="114"/>
  <c r="AA26" i="114"/>
  <c r="AB26" i="114" s="1"/>
  <c r="Z26" i="114"/>
  <c r="AA25" i="114"/>
  <c r="AB25" i="114" s="1"/>
  <c r="Z25" i="114"/>
  <c r="AA24" i="114"/>
  <c r="AB24" i="114" s="1"/>
  <c r="Z24" i="114"/>
  <c r="AA23" i="114"/>
  <c r="AB23" i="114" s="1"/>
  <c r="Z23" i="114"/>
  <c r="AA22" i="114"/>
  <c r="AB22" i="114" s="1"/>
  <c r="Z22" i="114"/>
  <c r="AA21" i="114"/>
  <c r="AB21" i="114" s="1"/>
  <c r="Z21" i="114"/>
  <c r="AA20" i="114"/>
  <c r="AB20" i="114" s="1"/>
  <c r="Z20" i="114"/>
  <c r="AA19" i="114"/>
  <c r="AB19" i="114" s="1"/>
  <c r="Z19" i="114"/>
  <c r="AA18" i="114"/>
  <c r="AB18" i="114" s="1"/>
  <c r="Z18" i="114"/>
  <c r="AA17" i="114"/>
  <c r="AB17" i="114" s="1"/>
  <c r="Z17" i="114"/>
  <c r="AA16" i="114"/>
  <c r="AB16" i="114" s="1"/>
  <c r="Z16" i="114"/>
  <c r="AA15" i="114"/>
  <c r="AB15" i="114" s="1"/>
  <c r="Z15" i="114"/>
  <c r="AA14" i="114"/>
  <c r="AB14" i="114" s="1"/>
  <c r="Z14" i="114"/>
  <c r="AA13" i="114"/>
  <c r="AB13" i="114" s="1"/>
  <c r="Z13" i="114"/>
  <c r="AA12" i="114"/>
  <c r="AB12" i="114" s="1"/>
  <c r="Z12" i="114"/>
  <c r="AA11" i="114"/>
  <c r="AB11" i="114" s="1"/>
  <c r="Z11" i="114"/>
  <c r="AA10" i="114"/>
  <c r="AB10" i="114" s="1"/>
  <c r="Z10" i="114"/>
  <c r="B10" i="114"/>
  <c r="B11" i="114" s="1"/>
  <c r="B12" i="114" s="1"/>
  <c r="B13" i="114" s="1"/>
  <c r="B14" i="114" s="1"/>
  <c r="B15" i="114" s="1"/>
  <c r="B16" i="114" s="1"/>
  <c r="B17" i="114" s="1"/>
  <c r="B18" i="114" s="1"/>
  <c r="B19" i="114" s="1"/>
  <c r="B20" i="114" s="1"/>
  <c r="B21" i="114" s="1"/>
  <c r="B22" i="114" s="1"/>
  <c r="B23" i="114" s="1"/>
  <c r="B24" i="114" s="1"/>
  <c r="B25" i="114" s="1"/>
  <c r="B26" i="114" s="1"/>
  <c r="B27" i="114" s="1"/>
  <c r="B28" i="114" s="1"/>
  <c r="B29" i="114" s="1"/>
  <c r="B30" i="114" s="1"/>
  <c r="B31" i="114" s="1"/>
  <c r="B32" i="114" s="1"/>
  <c r="B33" i="114" s="1"/>
  <c r="B34" i="114" s="1"/>
  <c r="B35" i="114" s="1"/>
  <c r="B36" i="114" s="1"/>
  <c r="B37" i="114" s="1"/>
  <c r="AA9" i="114"/>
  <c r="AB9" i="114" s="1"/>
  <c r="Z9" i="114"/>
  <c r="B9" i="114"/>
  <c r="AA8" i="114"/>
  <c r="AB8" i="114" s="1"/>
  <c r="Z8" i="114"/>
  <c r="C3" i="114"/>
  <c r="AB37" i="113"/>
  <c r="AA37" i="113"/>
  <c r="Z37" i="113"/>
  <c r="AA36" i="113"/>
  <c r="AB36" i="113" s="1"/>
  <c r="Z36" i="113"/>
  <c r="AB35" i="113"/>
  <c r="AA35" i="113"/>
  <c r="Z35" i="113"/>
  <c r="AA34" i="113"/>
  <c r="AB34" i="113" s="1"/>
  <c r="Z34" i="113"/>
  <c r="AB33" i="113"/>
  <c r="AA33" i="113"/>
  <c r="Z33" i="113"/>
  <c r="AA32" i="113"/>
  <c r="AB32" i="113" s="1"/>
  <c r="Z32" i="113"/>
  <c r="AB31" i="113"/>
  <c r="AA31" i="113"/>
  <c r="Z31" i="113"/>
  <c r="AA30" i="113"/>
  <c r="AB30" i="113" s="1"/>
  <c r="Z30" i="113"/>
  <c r="AB29" i="113"/>
  <c r="AA29" i="113"/>
  <c r="Z29" i="113"/>
  <c r="AA28" i="113"/>
  <c r="AB28" i="113" s="1"/>
  <c r="Z28" i="113"/>
  <c r="AB27" i="113"/>
  <c r="AA27" i="113"/>
  <c r="Z27" i="113"/>
  <c r="AA26" i="113"/>
  <c r="AB26" i="113" s="1"/>
  <c r="Z26" i="113"/>
  <c r="AB25" i="113"/>
  <c r="AA25" i="113"/>
  <c r="Z25" i="113"/>
  <c r="AA24" i="113"/>
  <c r="AB24" i="113" s="1"/>
  <c r="Z24" i="113"/>
  <c r="AB23" i="113"/>
  <c r="AA23" i="113"/>
  <c r="Z23" i="113"/>
  <c r="AA22" i="113"/>
  <c r="AB22" i="113" s="1"/>
  <c r="Z22" i="113"/>
  <c r="AB21" i="113"/>
  <c r="AA21" i="113"/>
  <c r="Z21" i="113"/>
  <c r="AA20" i="113"/>
  <c r="AB20" i="113" s="1"/>
  <c r="Z20" i="113"/>
  <c r="AB19" i="113"/>
  <c r="AA19" i="113"/>
  <c r="Z19" i="113"/>
  <c r="AA18" i="113"/>
  <c r="AB18" i="113" s="1"/>
  <c r="Z18" i="113"/>
  <c r="AB17" i="113"/>
  <c r="AA17" i="113"/>
  <c r="Z17" i="113"/>
  <c r="AA16" i="113"/>
  <c r="AB16" i="113" s="1"/>
  <c r="Z16" i="113"/>
  <c r="AA15" i="113"/>
  <c r="AB15" i="113" s="1"/>
  <c r="Z15" i="113"/>
  <c r="AA14" i="113"/>
  <c r="AB14" i="113" s="1"/>
  <c r="Z14" i="113"/>
  <c r="AA13" i="113"/>
  <c r="AB13" i="113" s="1"/>
  <c r="Z13" i="113"/>
  <c r="AA12" i="113"/>
  <c r="AB12" i="113" s="1"/>
  <c r="Z12" i="113"/>
  <c r="AA11" i="113"/>
  <c r="AB11" i="113" s="1"/>
  <c r="Z11" i="113"/>
  <c r="AA10" i="113"/>
  <c r="AB10" i="113" s="1"/>
  <c r="Z10" i="113"/>
  <c r="B10" i="113"/>
  <c r="B11" i="113" s="1"/>
  <c r="B12" i="113" s="1"/>
  <c r="B13" i="113" s="1"/>
  <c r="B14" i="113" s="1"/>
  <c r="B15" i="113" s="1"/>
  <c r="B16" i="113" s="1"/>
  <c r="B17" i="113" s="1"/>
  <c r="B18" i="113" s="1"/>
  <c r="B19" i="113" s="1"/>
  <c r="B20" i="113" s="1"/>
  <c r="B21" i="113" s="1"/>
  <c r="B22" i="113" s="1"/>
  <c r="B23" i="113" s="1"/>
  <c r="B24" i="113" s="1"/>
  <c r="B25" i="113" s="1"/>
  <c r="B26" i="113" s="1"/>
  <c r="B27" i="113" s="1"/>
  <c r="B28" i="113" s="1"/>
  <c r="B29" i="113" s="1"/>
  <c r="B30" i="113" s="1"/>
  <c r="B31" i="113" s="1"/>
  <c r="B32" i="113" s="1"/>
  <c r="B33" i="113" s="1"/>
  <c r="B34" i="113" s="1"/>
  <c r="B35" i="113" s="1"/>
  <c r="B36" i="113" s="1"/>
  <c r="B37" i="113" s="1"/>
  <c r="AA9" i="113"/>
  <c r="AB9" i="113" s="1"/>
  <c r="Z9" i="113"/>
  <c r="B9" i="113"/>
  <c r="AA8" i="113"/>
  <c r="AB8" i="113" s="1"/>
  <c r="Z8" i="113"/>
  <c r="C3" i="113"/>
  <c r="AA2" i="117" l="1"/>
  <c r="AA2" i="114"/>
  <c r="AA2" i="113"/>
  <c r="AA37" i="112"/>
  <c r="AB37" i="112" s="1"/>
  <c r="Z37" i="112"/>
  <c r="AA36" i="112"/>
  <c r="AB36" i="112" s="1"/>
  <c r="Z36" i="112"/>
  <c r="AA35" i="112"/>
  <c r="AB35" i="112" s="1"/>
  <c r="Z35" i="112"/>
  <c r="AA34" i="112"/>
  <c r="AB34" i="112" s="1"/>
  <c r="Z34" i="112"/>
  <c r="AA33" i="112"/>
  <c r="AB33" i="112" s="1"/>
  <c r="Z33" i="112"/>
  <c r="AA32" i="112"/>
  <c r="AB32" i="112" s="1"/>
  <c r="Z32" i="112"/>
  <c r="AA31" i="112"/>
  <c r="AB31" i="112" s="1"/>
  <c r="Z31" i="112"/>
  <c r="AA30" i="112"/>
  <c r="AB30" i="112" s="1"/>
  <c r="Z30" i="112"/>
  <c r="AA29" i="112"/>
  <c r="AB29" i="112" s="1"/>
  <c r="Z29" i="112"/>
  <c r="AA28" i="112"/>
  <c r="AB28" i="112" s="1"/>
  <c r="Z28" i="112"/>
  <c r="AA27" i="112"/>
  <c r="AB27" i="112" s="1"/>
  <c r="Z27" i="112"/>
  <c r="AA26" i="112"/>
  <c r="AB26" i="112" s="1"/>
  <c r="Z26" i="112"/>
  <c r="AA25" i="112"/>
  <c r="AB25" i="112" s="1"/>
  <c r="Z25" i="112"/>
  <c r="AA24" i="112"/>
  <c r="AB24" i="112" s="1"/>
  <c r="Z24" i="112"/>
  <c r="AA23" i="112"/>
  <c r="AB23" i="112" s="1"/>
  <c r="Z23" i="112"/>
  <c r="AA22" i="112"/>
  <c r="AB22" i="112" s="1"/>
  <c r="Z22" i="112"/>
  <c r="AA21" i="112"/>
  <c r="AB21" i="112" s="1"/>
  <c r="Z21" i="112"/>
  <c r="AA20" i="112"/>
  <c r="AB20" i="112" s="1"/>
  <c r="Z20" i="112"/>
  <c r="AA19" i="112"/>
  <c r="AB19" i="112" s="1"/>
  <c r="Z19" i="112"/>
  <c r="AA18" i="112"/>
  <c r="AB18" i="112" s="1"/>
  <c r="Z18" i="112"/>
  <c r="AA17" i="112"/>
  <c r="AB17" i="112" s="1"/>
  <c r="Z17" i="112"/>
  <c r="AA16" i="112"/>
  <c r="AB16" i="112" s="1"/>
  <c r="Z16" i="112"/>
  <c r="AA15" i="112"/>
  <c r="AB15" i="112" s="1"/>
  <c r="Z15" i="112"/>
  <c r="AA14" i="112"/>
  <c r="AB14" i="112" s="1"/>
  <c r="Z14" i="112"/>
  <c r="AA13" i="112"/>
  <c r="AB13" i="112" s="1"/>
  <c r="Z13" i="112"/>
  <c r="AA12" i="112"/>
  <c r="AB12" i="112" s="1"/>
  <c r="Z12" i="112"/>
  <c r="AA11" i="112"/>
  <c r="AB11" i="112" s="1"/>
  <c r="Z11" i="112"/>
  <c r="AA10" i="112"/>
  <c r="AB10" i="112" s="1"/>
  <c r="Z10" i="112"/>
  <c r="B10" i="112"/>
  <c r="B11" i="112" s="1"/>
  <c r="B12" i="112" s="1"/>
  <c r="B13" i="112" s="1"/>
  <c r="B14" i="112" s="1"/>
  <c r="B15" i="112" s="1"/>
  <c r="B16" i="112" s="1"/>
  <c r="B17" i="112" s="1"/>
  <c r="B18" i="112" s="1"/>
  <c r="B19" i="112" s="1"/>
  <c r="B20" i="112" s="1"/>
  <c r="B21" i="112" s="1"/>
  <c r="B22" i="112" s="1"/>
  <c r="B23" i="112" s="1"/>
  <c r="B24" i="112" s="1"/>
  <c r="B25" i="112" s="1"/>
  <c r="B26" i="112" s="1"/>
  <c r="B27" i="112" s="1"/>
  <c r="B28" i="112" s="1"/>
  <c r="B29" i="112" s="1"/>
  <c r="B30" i="112" s="1"/>
  <c r="B31" i="112" s="1"/>
  <c r="B32" i="112" s="1"/>
  <c r="B33" i="112" s="1"/>
  <c r="B34" i="112" s="1"/>
  <c r="B35" i="112" s="1"/>
  <c r="B36" i="112" s="1"/>
  <c r="B37" i="112" s="1"/>
  <c r="AA9" i="112"/>
  <c r="AB9" i="112" s="1"/>
  <c r="Z9" i="112"/>
  <c r="B9" i="112"/>
  <c r="AA8" i="112"/>
  <c r="AB8" i="112" s="1"/>
  <c r="Z8" i="112"/>
  <c r="C3" i="112"/>
  <c r="AB37" i="111"/>
  <c r="AA37" i="111"/>
  <c r="Z37" i="111"/>
  <c r="AA36" i="111"/>
  <c r="AB36" i="111" s="1"/>
  <c r="Z36" i="111"/>
  <c r="AB35" i="111"/>
  <c r="AA35" i="111"/>
  <c r="Z35" i="111"/>
  <c r="AA34" i="111"/>
  <c r="AB34" i="111" s="1"/>
  <c r="Z34" i="111"/>
  <c r="AB33" i="111"/>
  <c r="AA33" i="111"/>
  <c r="Z33" i="111"/>
  <c r="AA32" i="111"/>
  <c r="AB32" i="111" s="1"/>
  <c r="Z32" i="111"/>
  <c r="AB31" i="111"/>
  <c r="AA31" i="111"/>
  <c r="Z31" i="111"/>
  <c r="AA30" i="111"/>
  <c r="AB30" i="111" s="1"/>
  <c r="Z30" i="111"/>
  <c r="AB29" i="111"/>
  <c r="AA29" i="111"/>
  <c r="Z29" i="111"/>
  <c r="AA28" i="111"/>
  <c r="AB28" i="111" s="1"/>
  <c r="Z28" i="111"/>
  <c r="AB27" i="111"/>
  <c r="AA27" i="111"/>
  <c r="Z27" i="111"/>
  <c r="AA26" i="111"/>
  <c r="AB26" i="111" s="1"/>
  <c r="Z26" i="111"/>
  <c r="AB25" i="111"/>
  <c r="AA25" i="111"/>
  <c r="Z25" i="111"/>
  <c r="AA24" i="111"/>
  <c r="AB24" i="111" s="1"/>
  <c r="Z24" i="111"/>
  <c r="AB23" i="111"/>
  <c r="AA23" i="111"/>
  <c r="Z23" i="111"/>
  <c r="AA22" i="111"/>
  <c r="AB22" i="111" s="1"/>
  <c r="Z22" i="111"/>
  <c r="AB21" i="111"/>
  <c r="AA21" i="111"/>
  <c r="Z21" i="111"/>
  <c r="AA20" i="111"/>
  <c r="AB20" i="111" s="1"/>
  <c r="Z20" i="111"/>
  <c r="AA19" i="111"/>
  <c r="AB19" i="111" s="1"/>
  <c r="Z19" i="111"/>
  <c r="AA18" i="111"/>
  <c r="AB18" i="111" s="1"/>
  <c r="Z18" i="111"/>
  <c r="AA17" i="111"/>
  <c r="AB17" i="111" s="1"/>
  <c r="Z17" i="111"/>
  <c r="AA16" i="111"/>
  <c r="AB16" i="111" s="1"/>
  <c r="Z16" i="111"/>
  <c r="AA15" i="111"/>
  <c r="AB15" i="111" s="1"/>
  <c r="Z15" i="111"/>
  <c r="AA14" i="111"/>
  <c r="AB14" i="111" s="1"/>
  <c r="Z14" i="111"/>
  <c r="AA13" i="111"/>
  <c r="AB13" i="111" s="1"/>
  <c r="Z13" i="111"/>
  <c r="AA12" i="111"/>
  <c r="AB12" i="111" s="1"/>
  <c r="Z12" i="111"/>
  <c r="AA11" i="111"/>
  <c r="AB11" i="111" s="1"/>
  <c r="Z11" i="111"/>
  <c r="AA10" i="111"/>
  <c r="AB10" i="111" s="1"/>
  <c r="Z10" i="111"/>
  <c r="B10" i="111"/>
  <c r="B11" i="111" s="1"/>
  <c r="B12" i="111" s="1"/>
  <c r="B13" i="111" s="1"/>
  <c r="B14" i="111" s="1"/>
  <c r="B15" i="111" s="1"/>
  <c r="B16" i="111" s="1"/>
  <c r="B17" i="111" s="1"/>
  <c r="B18" i="111" s="1"/>
  <c r="B19" i="111" s="1"/>
  <c r="B20" i="111" s="1"/>
  <c r="B21" i="111" s="1"/>
  <c r="B22" i="111" s="1"/>
  <c r="B23" i="111" s="1"/>
  <c r="B24" i="111" s="1"/>
  <c r="B25" i="111" s="1"/>
  <c r="B26" i="111" s="1"/>
  <c r="B27" i="111" s="1"/>
  <c r="B28" i="111" s="1"/>
  <c r="B29" i="111" s="1"/>
  <c r="B30" i="111" s="1"/>
  <c r="B31" i="111" s="1"/>
  <c r="B32" i="111" s="1"/>
  <c r="B33" i="111" s="1"/>
  <c r="B34" i="111" s="1"/>
  <c r="B35" i="111" s="1"/>
  <c r="B36" i="111" s="1"/>
  <c r="B37" i="111" s="1"/>
  <c r="AA9" i="111"/>
  <c r="AB9" i="111" s="1"/>
  <c r="Z9" i="111"/>
  <c r="B9" i="111"/>
  <c r="AA8" i="111"/>
  <c r="AB8" i="111" s="1"/>
  <c r="Z8" i="111"/>
  <c r="C3" i="111"/>
  <c r="AB37" i="110"/>
  <c r="AA37" i="110"/>
  <c r="Z37" i="110"/>
  <c r="AA36" i="110"/>
  <c r="AB36" i="110" s="1"/>
  <c r="Z36" i="110"/>
  <c r="AB35" i="110"/>
  <c r="AA35" i="110"/>
  <c r="Z35" i="110"/>
  <c r="AA34" i="110"/>
  <c r="AB34" i="110" s="1"/>
  <c r="Z34" i="110"/>
  <c r="AB33" i="110"/>
  <c r="AA33" i="110"/>
  <c r="Z33" i="110"/>
  <c r="AA32" i="110"/>
  <c r="AB32" i="110" s="1"/>
  <c r="Z32" i="110"/>
  <c r="AB31" i="110"/>
  <c r="AA31" i="110"/>
  <c r="Z31" i="110"/>
  <c r="AA30" i="110"/>
  <c r="AB30" i="110" s="1"/>
  <c r="Z30" i="110"/>
  <c r="AB29" i="110"/>
  <c r="AA29" i="110"/>
  <c r="Z29" i="110"/>
  <c r="AA28" i="110"/>
  <c r="AB28" i="110" s="1"/>
  <c r="Z28" i="110"/>
  <c r="AB27" i="110"/>
  <c r="AA27" i="110"/>
  <c r="Z27" i="110"/>
  <c r="AA26" i="110"/>
  <c r="AB26" i="110" s="1"/>
  <c r="Z26" i="110"/>
  <c r="AB25" i="110"/>
  <c r="AA25" i="110"/>
  <c r="Z25" i="110"/>
  <c r="AA24" i="110"/>
  <c r="AB24" i="110" s="1"/>
  <c r="Z24" i="110"/>
  <c r="AB23" i="110"/>
  <c r="AA23" i="110"/>
  <c r="Z23" i="110"/>
  <c r="AA22" i="110"/>
  <c r="AB22" i="110" s="1"/>
  <c r="Z22" i="110"/>
  <c r="AB21" i="110"/>
  <c r="AA21" i="110"/>
  <c r="Z21" i="110"/>
  <c r="AA20" i="110"/>
  <c r="AB20" i="110" s="1"/>
  <c r="Z20" i="110"/>
  <c r="AB19" i="110"/>
  <c r="AA19" i="110"/>
  <c r="Z19" i="110"/>
  <c r="AA18" i="110"/>
  <c r="AB18" i="110" s="1"/>
  <c r="Z18" i="110"/>
  <c r="AA17" i="110"/>
  <c r="AB17" i="110" s="1"/>
  <c r="Z17" i="110"/>
  <c r="AA16" i="110"/>
  <c r="AB16" i="110" s="1"/>
  <c r="Z16" i="110"/>
  <c r="AA15" i="110"/>
  <c r="AB15" i="110" s="1"/>
  <c r="Z15" i="110"/>
  <c r="AA14" i="110"/>
  <c r="AB14" i="110" s="1"/>
  <c r="Z14" i="110"/>
  <c r="AA13" i="110"/>
  <c r="AB13" i="110" s="1"/>
  <c r="Z13" i="110"/>
  <c r="AA12" i="110"/>
  <c r="AB12" i="110" s="1"/>
  <c r="Z12" i="110"/>
  <c r="AA11" i="110"/>
  <c r="AB11" i="110" s="1"/>
  <c r="Z11" i="110"/>
  <c r="AA10" i="110"/>
  <c r="AB10" i="110" s="1"/>
  <c r="Z10" i="110"/>
  <c r="B10" i="110"/>
  <c r="B11" i="110" s="1"/>
  <c r="B12" i="110" s="1"/>
  <c r="B13" i="110" s="1"/>
  <c r="B14" i="110" s="1"/>
  <c r="B15" i="110" s="1"/>
  <c r="B16" i="110" s="1"/>
  <c r="B17" i="110" s="1"/>
  <c r="B18" i="110" s="1"/>
  <c r="B19" i="110" s="1"/>
  <c r="B20" i="110" s="1"/>
  <c r="B21" i="110" s="1"/>
  <c r="B22" i="110" s="1"/>
  <c r="B23" i="110" s="1"/>
  <c r="B24" i="110" s="1"/>
  <c r="B25" i="110" s="1"/>
  <c r="B26" i="110" s="1"/>
  <c r="B27" i="110" s="1"/>
  <c r="B28" i="110" s="1"/>
  <c r="B29" i="110" s="1"/>
  <c r="B30" i="110" s="1"/>
  <c r="B31" i="110" s="1"/>
  <c r="B32" i="110" s="1"/>
  <c r="B33" i="110" s="1"/>
  <c r="B34" i="110" s="1"/>
  <c r="B35" i="110" s="1"/>
  <c r="B36" i="110" s="1"/>
  <c r="B37" i="110" s="1"/>
  <c r="AA9" i="110"/>
  <c r="AB9" i="110" s="1"/>
  <c r="Z9" i="110"/>
  <c r="B9" i="110"/>
  <c r="AA8" i="110"/>
  <c r="AB8" i="110" s="1"/>
  <c r="Z8" i="110"/>
  <c r="C3" i="110"/>
  <c r="AA37" i="108"/>
  <c r="AB37" i="108" s="1"/>
  <c r="Z37" i="108"/>
  <c r="AA36" i="108"/>
  <c r="AB36" i="108" s="1"/>
  <c r="Z36" i="108"/>
  <c r="AA35" i="108"/>
  <c r="AB35" i="108" s="1"/>
  <c r="Z35" i="108"/>
  <c r="AA34" i="108"/>
  <c r="AB34" i="108" s="1"/>
  <c r="Z34" i="108"/>
  <c r="AA33" i="108"/>
  <c r="AB33" i="108" s="1"/>
  <c r="Z33" i="108"/>
  <c r="AA32" i="108"/>
  <c r="AB32" i="108" s="1"/>
  <c r="Z32" i="108"/>
  <c r="AA31" i="108"/>
  <c r="AB31" i="108" s="1"/>
  <c r="Z31" i="108"/>
  <c r="AA30" i="108"/>
  <c r="AB30" i="108" s="1"/>
  <c r="Z30" i="108"/>
  <c r="AA29" i="108"/>
  <c r="AB29" i="108" s="1"/>
  <c r="Z29" i="108"/>
  <c r="AA28" i="108"/>
  <c r="AB28" i="108" s="1"/>
  <c r="Z28" i="108"/>
  <c r="AA27" i="108"/>
  <c r="AB27" i="108" s="1"/>
  <c r="Z27" i="108"/>
  <c r="AA26" i="108"/>
  <c r="AB26" i="108" s="1"/>
  <c r="Z26" i="108"/>
  <c r="AA25" i="108"/>
  <c r="AB25" i="108" s="1"/>
  <c r="Z25" i="108"/>
  <c r="AA24" i="108"/>
  <c r="AB24" i="108" s="1"/>
  <c r="Z24" i="108"/>
  <c r="AA23" i="108"/>
  <c r="AB23" i="108" s="1"/>
  <c r="Z23" i="108"/>
  <c r="AA22" i="108"/>
  <c r="AB22" i="108" s="1"/>
  <c r="Z22" i="108"/>
  <c r="AA21" i="108"/>
  <c r="AB21" i="108" s="1"/>
  <c r="Z21" i="108"/>
  <c r="AA20" i="108"/>
  <c r="AB20" i="108" s="1"/>
  <c r="Z20" i="108"/>
  <c r="AA19" i="108"/>
  <c r="AB19" i="108" s="1"/>
  <c r="Z19" i="108"/>
  <c r="AA18" i="108"/>
  <c r="AB18" i="108" s="1"/>
  <c r="Z18" i="108"/>
  <c r="AA17" i="108"/>
  <c r="AB17" i="108" s="1"/>
  <c r="Z17" i="108"/>
  <c r="AA16" i="108"/>
  <c r="AB16" i="108" s="1"/>
  <c r="Z16" i="108"/>
  <c r="AA15" i="108"/>
  <c r="AB15" i="108" s="1"/>
  <c r="Z15" i="108"/>
  <c r="AA14" i="108"/>
  <c r="AB14" i="108" s="1"/>
  <c r="Z14" i="108"/>
  <c r="AA13" i="108"/>
  <c r="AB13" i="108" s="1"/>
  <c r="Z13" i="108"/>
  <c r="AA12" i="108"/>
  <c r="AB12" i="108" s="1"/>
  <c r="Z12" i="108"/>
  <c r="AA11" i="108"/>
  <c r="AB11" i="108" s="1"/>
  <c r="Z11" i="108"/>
  <c r="AA10" i="108"/>
  <c r="AB10" i="108" s="1"/>
  <c r="Z10" i="108"/>
  <c r="B10" i="108"/>
  <c r="B11" i="108" s="1"/>
  <c r="B12" i="108" s="1"/>
  <c r="B13" i="108" s="1"/>
  <c r="B14" i="108" s="1"/>
  <c r="B15" i="108" s="1"/>
  <c r="B16" i="108" s="1"/>
  <c r="B17" i="108" s="1"/>
  <c r="B18" i="108" s="1"/>
  <c r="B19" i="108" s="1"/>
  <c r="B20" i="108" s="1"/>
  <c r="B21" i="108" s="1"/>
  <c r="B22" i="108" s="1"/>
  <c r="B23" i="108" s="1"/>
  <c r="B24" i="108" s="1"/>
  <c r="B25" i="108" s="1"/>
  <c r="B26" i="108" s="1"/>
  <c r="B27" i="108" s="1"/>
  <c r="B28" i="108" s="1"/>
  <c r="B29" i="108" s="1"/>
  <c r="B30" i="108" s="1"/>
  <c r="B31" i="108" s="1"/>
  <c r="B32" i="108" s="1"/>
  <c r="B33" i="108" s="1"/>
  <c r="B34" i="108" s="1"/>
  <c r="B35" i="108" s="1"/>
  <c r="B36" i="108" s="1"/>
  <c r="B37" i="108" s="1"/>
  <c r="AA9" i="108"/>
  <c r="AB9" i="108" s="1"/>
  <c r="Z9" i="108"/>
  <c r="B9" i="108"/>
  <c r="AA8" i="108"/>
  <c r="AB8" i="108" s="1"/>
  <c r="Z8" i="108"/>
  <c r="C3" i="108"/>
  <c r="AA37" i="106"/>
  <c r="AB37" i="106" s="1"/>
  <c r="Z37" i="106"/>
  <c r="AA36" i="106"/>
  <c r="AB36" i="106" s="1"/>
  <c r="Z36" i="106"/>
  <c r="AA35" i="106"/>
  <c r="AB35" i="106" s="1"/>
  <c r="Z35" i="106"/>
  <c r="AA34" i="106"/>
  <c r="AB34" i="106" s="1"/>
  <c r="Z34" i="106"/>
  <c r="AA33" i="106"/>
  <c r="AB33" i="106" s="1"/>
  <c r="Z33" i="106"/>
  <c r="AA32" i="106"/>
  <c r="AB32" i="106" s="1"/>
  <c r="Z32" i="106"/>
  <c r="AA31" i="106"/>
  <c r="AB31" i="106" s="1"/>
  <c r="Z31" i="106"/>
  <c r="AA30" i="106"/>
  <c r="AB30" i="106" s="1"/>
  <c r="Z30" i="106"/>
  <c r="AA29" i="106"/>
  <c r="AB29" i="106" s="1"/>
  <c r="Z29" i="106"/>
  <c r="AA28" i="106"/>
  <c r="AB28" i="106" s="1"/>
  <c r="Z28" i="106"/>
  <c r="AA27" i="106"/>
  <c r="AB27" i="106" s="1"/>
  <c r="Z27" i="106"/>
  <c r="AA26" i="106"/>
  <c r="AB26" i="106" s="1"/>
  <c r="Z26" i="106"/>
  <c r="AA25" i="106"/>
  <c r="AB25" i="106" s="1"/>
  <c r="Z25" i="106"/>
  <c r="AA24" i="106"/>
  <c r="AB24" i="106" s="1"/>
  <c r="Z24" i="106"/>
  <c r="AA23" i="106"/>
  <c r="AB23" i="106" s="1"/>
  <c r="Z23" i="106"/>
  <c r="AA22" i="106"/>
  <c r="AB22" i="106" s="1"/>
  <c r="Z22" i="106"/>
  <c r="AA21" i="106"/>
  <c r="AB21" i="106" s="1"/>
  <c r="Z21" i="106"/>
  <c r="AA20" i="106"/>
  <c r="AB20" i="106" s="1"/>
  <c r="Z20" i="106"/>
  <c r="AA19" i="106"/>
  <c r="AB19" i="106" s="1"/>
  <c r="Z19" i="106"/>
  <c r="AA18" i="106"/>
  <c r="AB18" i="106" s="1"/>
  <c r="Z18" i="106"/>
  <c r="AA17" i="106"/>
  <c r="AB17" i="106" s="1"/>
  <c r="Z17" i="106"/>
  <c r="AA16" i="106"/>
  <c r="AB16" i="106" s="1"/>
  <c r="Z16" i="106"/>
  <c r="AA15" i="106"/>
  <c r="AB15" i="106" s="1"/>
  <c r="Z15" i="106"/>
  <c r="AA14" i="106"/>
  <c r="AB14" i="106" s="1"/>
  <c r="Z14" i="106"/>
  <c r="AA13" i="106"/>
  <c r="AB13" i="106" s="1"/>
  <c r="Z13" i="106"/>
  <c r="AA12" i="106"/>
  <c r="AB12" i="106" s="1"/>
  <c r="Z12" i="106"/>
  <c r="AA11" i="106"/>
  <c r="AB11" i="106" s="1"/>
  <c r="Z11" i="106"/>
  <c r="AA10" i="106"/>
  <c r="AB10" i="106" s="1"/>
  <c r="Z10" i="106"/>
  <c r="B10" i="106"/>
  <c r="B11" i="106" s="1"/>
  <c r="B12" i="106" s="1"/>
  <c r="B13" i="106" s="1"/>
  <c r="B14" i="106" s="1"/>
  <c r="B15" i="106" s="1"/>
  <c r="B16" i="106" s="1"/>
  <c r="B17" i="106" s="1"/>
  <c r="B18" i="106" s="1"/>
  <c r="B19" i="106" s="1"/>
  <c r="B20" i="106" s="1"/>
  <c r="B21" i="106" s="1"/>
  <c r="B22" i="106" s="1"/>
  <c r="B23" i="106" s="1"/>
  <c r="B24" i="106" s="1"/>
  <c r="B25" i="106" s="1"/>
  <c r="B26" i="106" s="1"/>
  <c r="B27" i="106" s="1"/>
  <c r="B28" i="106" s="1"/>
  <c r="B29" i="106" s="1"/>
  <c r="B30" i="106" s="1"/>
  <c r="B31" i="106" s="1"/>
  <c r="B32" i="106" s="1"/>
  <c r="B33" i="106" s="1"/>
  <c r="B34" i="106" s="1"/>
  <c r="B35" i="106" s="1"/>
  <c r="B36" i="106" s="1"/>
  <c r="B37" i="106" s="1"/>
  <c r="AA9" i="106"/>
  <c r="AB9" i="106" s="1"/>
  <c r="Z9" i="106"/>
  <c r="B9" i="106"/>
  <c r="AA8" i="106"/>
  <c r="AB8" i="106" s="1"/>
  <c r="Z8" i="106"/>
  <c r="C3" i="106"/>
  <c r="AB37" i="105"/>
  <c r="AA37" i="105"/>
  <c r="Z37" i="105"/>
  <c r="AA36" i="105"/>
  <c r="AB36" i="105" s="1"/>
  <c r="Z36" i="105"/>
  <c r="AB35" i="105"/>
  <c r="AA35" i="105"/>
  <c r="Z35" i="105"/>
  <c r="AA34" i="105"/>
  <c r="AB34" i="105" s="1"/>
  <c r="Z34" i="105"/>
  <c r="AB33" i="105"/>
  <c r="AA33" i="105"/>
  <c r="Z33" i="105"/>
  <c r="AA32" i="105"/>
  <c r="AB32" i="105" s="1"/>
  <c r="Z32" i="105"/>
  <c r="AA31" i="105"/>
  <c r="AB31" i="105" s="1"/>
  <c r="Z31" i="105"/>
  <c r="AA30" i="105"/>
  <c r="AB30" i="105" s="1"/>
  <c r="Z30" i="105"/>
  <c r="AA29" i="105"/>
  <c r="AB29" i="105" s="1"/>
  <c r="Z29" i="105"/>
  <c r="AA28" i="105"/>
  <c r="AB28" i="105" s="1"/>
  <c r="Z28" i="105"/>
  <c r="AA27" i="105"/>
  <c r="AB27" i="105" s="1"/>
  <c r="Z27" i="105"/>
  <c r="AA26" i="105"/>
  <c r="AB26" i="105" s="1"/>
  <c r="Z26" i="105"/>
  <c r="AA25" i="105"/>
  <c r="AB25" i="105" s="1"/>
  <c r="Z25" i="105"/>
  <c r="AA24" i="105"/>
  <c r="AB24" i="105" s="1"/>
  <c r="Z24" i="105"/>
  <c r="AA23" i="105"/>
  <c r="AB23" i="105" s="1"/>
  <c r="Z23" i="105"/>
  <c r="AA22" i="105"/>
  <c r="AB22" i="105" s="1"/>
  <c r="Z22" i="105"/>
  <c r="AA21" i="105"/>
  <c r="AB21" i="105" s="1"/>
  <c r="Z21" i="105"/>
  <c r="AA20" i="105"/>
  <c r="AB20" i="105" s="1"/>
  <c r="Z20" i="105"/>
  <c r="AA19" i="105"/>
  <c r="AB19" i="105" s="1"/>
  <c r="Z19" i="105"/>
  <c r="AA18" i="105"/>
  <c r="AB18" i="105" s="1"/>
  <c r="Z18" i="105"/>
  <c r="AA17" i="105"/>
  <c r="AB17" i="105" s="1"/>
  <c r="Z17" i="105"/>
  <c r="AA16" i="105"/>
  <c r="AB16" i="105" s="1"/>
  <c r="Z16" i="105"/>
  <c r="AA15" i="105"/>
  <c r="AB15" i="105" s="1"/>
  <c r="Z15" i="105"/>
  <c r="AA14" i="105"/>
  <c r="AB14" i="105" s="1"/>
  <c r="Z14" i="105"/>
  <c r="AA13" i="105"/>
  <c r="AB13" i="105" s="1"/>
  <c r="Z13" i="105"/>
  <c r="AA12" i="105"/>
  <c r="AB12" i="105" s="1"/>
  <c r="Z12" i="105"/>
  <c r="AA11" i="105"/>
  <c r="AB11" i="105" s="1"/>
  <c r="Z11" i="105"/>
  <c r="AA10" i="105"/>
  <c r="AB10" i="105" s="1"/>
  <c r="Z10" i="105"/>
  <c r="B10" i="105"/>
  <c r="B11" i="105" s="1"/>
  <c r="B12" i="105" s="1"/>
  <c r="B13" i="105" s="1"/>
  <c r="B14" i="105" s="1"/>
  <c r="B15" i="105" s="1"/>
  <c r="B16" i="105" s="1"/>
  <c r="B17" i="105" s="1"/>
  <c r="B18" i="105" s="1"/>
  <c r="B19" i="105" s="1"/>
  <c r="B20" i="105" s="1"/>
  <c r="B21" i="105" s="1"/>
  <c r="B22" i="105" s="1"/>
  <c r="B23" i="105" s="1"/>
  <c r="B24" i="105" s="1"/>
  <c r="B25" i="105" s="1"/>
  <c r="B26" i="105" s="1"/>
  <c r="B27" i="105" s="1"/>
  <c r="B28" i="105" s="1"/>
  <c r="B29" i="105" s="1"/>
  <c r="B30" i="105" s="1"/>
  <c r="B31" i="105" s="1"/>
  <c r="B32" i="105" s="1"/>
  <c r="B33" i="105" s="1"/>
  <c r="B34" i="105" s="1"/>
  <c r="B35" i="105" s="1"/>
  <c r="B36" i="105" s="1"/>
  <c r="B37" i="105" s="1"/>
  <c r="AA9" i="105"/>
  <c r="AB9" i="105" s="1"/>
  <c r="Z9" i="105"/>
  <c r="B9" i="105"/>
  <c r="AA8" i="105"/>
  <c r="AB8" i="105" s="1"/>
  <c r="Z8" i="105"/>
  <c r="C3" i="105"/>
  <c r="AB37" i="103"/>
  <c r="AA37" i="103"/>
  <c r="Z37" i="103"/>
  <c r="AA36" i="103"/>
  <c r="AB36" i="103" s="1"/>
  <c r="Z36" i="103"/>
  <c r="AB35" i="103"/>
  <c r="AA35" i="103"/>
  <c r="Z35" i="103"/>
  <c r="AA34" i="103"/>
  <c r="AB34" i="103" s="1"/>
  <c r="Z34" i="103"/>
  <c r="AB33" i="103"/>
  <c r="AA33" i="103"/>
  <c r="Z33" i="103"/>
  <c r="AA32" i="103"/>
  <c r="AB32" i="103" s="1"/>
  <c r="Z32" i="103"/>
  <c r="AB31" i="103"/>
  <c r="AA31" i="103"/>
  <c r="Z31" i="103"/>
  <c r="AA30" i="103"/>
  <c r="AB30" i="103" s="1"/>
  <c r="Z30" i="103"/>
  <c r="AA29" i="103"/>
  <c r="AB29" i="103" s="1"/>
  <c r="Z29" i="103"/>
  <c r="AA28" i="103"/>
  <c r="AB28" i="103" s="1"/>
  <c r="Z28" i="103"/>
  <c r="AA27" i="103"/>
  <c r="AB27" i="103" s="1"/>
  <c r="Z27" i="103"/>
  <c r="AA26" i="103"/>
  <c r="AB26" i="103" s="1"/>
  <c r="Z26" i="103"/>
  <c r="AA25" i="103"/>
  <c r="AB25" i="103" s="1"/>
  <c r="Z25" i="103"/>
  <c r="AA24" i="103"/>
  <c r="AB24" i="103" s="1"/>
  <c r="Z24" i="103"/>
  <c r="AA23" i="103"/>
  <c r="AB23" i="103" s="1"/>
  <c r="Z23" i="103"/>
  <c r="AA22" i="103"/>
  <c r="AB22" i="103" s="1"/>
  <c r="Z22" i="103"/>
  <c r="AA21" i="103"/>
  <c r="AB21" i="103" s="1"/>
  <c r="Z21" i="103"/>
  <c r="AA20" i="103"/>
  <c r="AB20" i="103" s="1"/>
  <c r="Z20" i="103"/>
  <c r="AB19" i="103"/>
  <c r="AA19" i="103"/>
  <c r="Z19" i="103"/>
  <c r="AA18" i="103"/>
  <c r="AB18" i="103" s="1"/>
  <c r="Z18" i="103"/>
  <c r="AA17" i="103"/>
  <c r="AB17" i="103" s="1"/>
  <c r="Z17" i="103"/>
  <c r="AA16" i="103"/>
  <c r="AB16" i="103" s="1"/>
  <c r="Z16" i="103"/>
  <c r="AA15" i="103"/>
  <c r="AB15" i="103" s="1"/>
  <c r="Z15" i="103"/>
  <c r="AA14" i="103"/>
  <c r="AB14" i="103" s="1"/>
  <c r="Z14" i="103"/>
  <c r="AA13" i="103"/>
  <c r="AB13" i="103" s="1"/>
  <c r="Z13" i="103"/>
  <c r="AA12" i="103"/>
  <c r="AB12" i="103" s="1"/>
  <c r="Z12" i="103"/>
  <c r="AA11" i="103"/>
  <c r="AB11" i="103" s="1"/>
  <c r="Z11" i="103"/>
  <c r="AA10" i="103"/>
  <c r="AB10" i="103" s="1"/>
  <c r="Z10" i="103"/>
  <c r="B10" i="103"/>
  <c r="B11" i="103" s="1"/>
  <c r="B12" i="103" s="1"/>
  <c r="B13" i="103" s="1"/>
  <c r="B14" i="103" s="1"/>
  <c r="B15" i="103" s="1"/>
  <c r="B16" i="103" s="1"/>
  <c r="B17" i="103" s="1"/>
  <c r="B18" i="103" s="1"/>
  <c r="B19" i="103" s="1"/>
  <c r="B20" i="103" s="1"/>
  <c r="B21" i="103" s="1"/>
  <c r="B22" i="103" s="1"/>
  <c r="B23" i="103" s="1"/>
  <c r="B24" i="103" s="1"/>
  <c r="B25" i="103" s="1"/>
  <c r="B26" i="103" s="1"/>
  <c r="B27" i="103" s="1"/>
  <c r="B28" i="103" s="1"/>
  <c r="B29" i="103" s="1"/>
  <c r="B30" i="103" s="1"/>
  <c r="B31" i="103" s="1"/>
  <c r="B32" i="103" s="1"/>
  <c r="B33" i="103" s="1"/>
  <c r="B34" i="103" s="1"/>
  <c r="B35" i="103" s="1"/>
  <c r="B36" i="103" s="1"/>
  <c r="B37" i="103" s="1"/>
  <c r="AA9" i="103"/>
  <c r="AB9" i="103" s="1"/>
  <c r="Z9" i="103"/>
  <c r="B9" i="103"/>
  <c r="AA8" i="103"/>
  <c r="AB8" i="103" s="1"/>
  <c r="Z8" i="103"/>
  <c r="C3" i="103"/>
  <c r="AB37" i="101"/>
  <c r="AA37" i="101"/>
  <c r="Z37" i="101"/>
  <c r="AA36" i="101"/>
  <c r="AB36" i="101" s="1"/>
  <c r="Z36" i="101"/>
  <c r="AB35" i="101"/>
  <c r="AA35" i="101"/>
  <c r="Z35" i="101"/>
  <c r="AA34" i="101"/>
  <c r="AB34" i="101" s="1"/>
  <c r="Z34" i="101"/>
  <c r="AB33" i="101"/>
  <c r="AA33" i="101"/>
  <c r="Z33" i="101"/>
  <c r="AA32" i="101"/>
  <c r="AB32" i="101" s="1"/>
  <c r="Z32" i="101"/>
  <c r="AB31" i="101"/>
  <c r="AA31" i="101"/>
  <c r="Z31" i="101"/>
  <c r="AA30" i="101"/>
  <c r="AB30" i="101" s="1"/>
  <c r="Z30" i="101"/>
  <c r="AB29" i="101"/>
  <c r="AA29" i="101"/>
  <c r="Z29" i="101"/>
  <c r="AA28" i="101"/>
  <c r="AB28" i="101" s="1"/>
  <c r="Z28" i="101"/>
  <c r="AB27" i="101"/>
  <c r="AA27" i="101"/>
  <c r="Z27" i="101"/>
  <c r="AA26" i="101"/>
  <c r="AB26" i="101" s="1"/>
  <c r="Z26" i="101"/>
  <c r="AB25" i="101"/>
  <c r="AA25" i="101"/>
  <c r="Z25" i="101"/>
  <c r="AA24" i="101"/>
  <c r="AB24" i="101" s="1"/>
  <c r="Z24" i="101"/>
  <c r="AB23" i="101"/>
  <c r="AA23" i="101"/>
  <c r="Z23" i="101"/>
  <c r="AA22" i="101"/>
  <c r="AB22" i="101" s="1"/>
  <c r="Z22" i="101"/>
  <c r="AB21" i="101"/>
  <c r="AA21" i="101"/>
  <c r="Z21" i="101"/>
  <c r="AA20" i="101"/>
  <c r="AB20" i="101" s="1"/>
  <c r="Z20" i="101"/>
  <c r="AB19" i="101"/>
  <c r="AA19" i="101"/>
  <c r="Z19" i="101"/>
  <c r="AA18" i="101"/>
  <c r="AB18" i="101" s="1"/>
  <c r="Z18" i="101"/>
  <c r="AB17" i="101"/>
  <c r="AA17" i="101"/>
  <c r="Z17" i="101"/>
  <c r="AA16" i="101"/>
  <c r="AB16" i="101" s="1"/>
  <c r="Z16" i="101"/>
  <c r="AA15" i="101"/>
  <c r="AB15" i="101" s="1"/>
  <c r="Z15" i="101"/>
  <c r="AA14" i="101"/>
  <c r="AB14" i="101" s="1"/>
  <c r="Z14" i="101"/>
  <c r="AA13" i="101"/>
  <c r="AB13" i="101" s="1"/>
  <c r="Z13" i="101"/>
  <c r="AA12" i="101"/>
  <c r="AB12" i="101" s="1"/>
  <c r="Z12" i="101"/>
  <c r="AA11" i="101"/>
  <c r="AB11" i="101" s="1"/>
  <c r="Z11" i="101"/>
  <c r="AA10" i="101"/>
  <c r="AB10" i="101" s="1"/>
  <c r="Z10" i="101"/>
  <c r="B10" i="101"/>
  <c r="B11" i="101" s="1"/>
  <c r="B12" i="101" s="1"/>
  <c r="B13" i="101" s="1"/>
  <c r="B14" i="101" s="1"/>
  <c r="B15" i="101" s="1"/>
  <c r="B16" i="101" s="1"/>
  <c r="B17" i="101" s="1"/>
  <c r="B18" i="101" s="1"/>
  <c r="B19" i="101" s="1"/>
  <c r="B20" i="101" s="1"/>
  <c r="B21" i="101" s="1"/>
  <c r="B22" i="101" s="1"/>
  <c r="B23" i="101" s="1"/>
  <c r="B24" i="101" s="1"/>
  <c r="B25" i="101" s="1"/>
  <c r="B26" i="101" s="1"/>
  <c r="B27" i="101" s="1"/>
  <c r="B28" i="101" s="1"/>
  <c r="B29" i="101" s="1"/>
  <c r="B30" i="101" s="1"/>
  <c r="B31" i="101" s="1"/>
  <c r="B32" i="101" s="1"/>
  <c r="B33" i="101" s="1"/>
  <c r="B34" i="101" s="1"/>
  <c r="B35" i="101" s="1"/>
  <c r="B36" i="101" s="1"/>
  <c r="B37" i="101" s="1"/>
  <c r="AB9" i="101"/>
  <c r="AA9" i="101"/>
  <c r="Z9" i="101"/>
  <c r="B9" i="101"/>
  <c r="AA8" i="101"/>
  <c r="AB8" i="101" s="1"/>
  <c r="Z8" i="101"/>
  <c r="C3" i="101"/>
  <c r="AA37" i="100"/>
  <c r="AB37" i="100" s="1"/>
  <c r="Z37" i="100"/>
  <c r="AA36" i="100"/>
  <c r="AB36" i="100" s="1"/>
  <c r="Z36" i="100"/>
  <c r="AA35" i="100"/>
  <c r="AB35" i="100" s="1"/>
  <c r="Z35" i="100"/>
  <c r="AA34" i="100"/>
  <c r="AB34" i="100" s="1"/>
  <c r="Z34" i="100"/>
  <c r="AA33" i="100"/>
  <c r="AB33" i="100" s="1"/>
  <c r="Z33" i="100"/>
  <c r="AA32" i="100"/>
  <c r="AB32" i="100" s="1"/>
  <c r="Z32" i="100"/>
  <c r="AA31" i="100"/>
  <c r="AB31" i="100" s="1"/>
  <c r="Z31" i="100"/>
  <c r="AA30" i="100"/>
  <c r="AB30" i="100" s="1"/>
  <c r="Z30" i="100"/>
  <c r="AA29" i="100"/>
  <c r="AB29" i="100" s="1"/>
  <c r="Z29" i="100"/>
  <c r="AA28" i="100"/>
  <c r="AB28" i="100" s="1"/>
  <c r="Z28" i="100"/>
  <c r="AA27" i="100"/>
  <c r="AB27" i="100" s="1"/>
  <c r="Z27" i="100"/>
  <c r="AA26" i="100"/>
  <c r="AB26" i="100" s="1"/>
  <c r="Z26" i="100"/>
  <c r="AA25" i="100"/>
  <c r="AB25" i="100" s="1"/>
  <c r="Z25" i="100"/>
  <c r="AA24" i="100"/>
  <c r="AB24" i="100" s="1"/>
  <c r="Z24" i="100"/>
  <c r="AA23" i="100"/>
  <c r="AB23" i="100" s="1"/>
  <c r="Z23" i="100"/>
  <c r="AA22" i="100"/>
  <c r="AB22" i="100" s="1"/>
  <c r="Z22" i="100"/>
  <c r="AA21" i="100"/>
  <c r="AB21" i="100" s="1"/>
  <c r="Z21" i="100"/>
  <c r="AA20" i="100"/>
  <c r="AB20" i="100" s="1"/>
  <c r="Z20" i="100"/>
  <c r="AA19" i="100"/>
  <c r="AB19" i="100" s="1"/>
  <c r="Z19" i="100"/>
  <c r="AA18" i="100"/>
  <c r="AB18" i="100" s="1"/>
  <c r="Z18" i="100"/>
  <c r="AA17" i="100"/>
  <c r="AB17" i="100" s="1"/>
  <c r="Z17" i="100"/>
  <c r="AA16" i="100"/>
  <c r="AB16" i="100" s="1"/>
  <c r="Z16" i="100"/>
  <c r="AA15" i="100"/>
  <c r="AB15" i="100" s="1"/>
  <c r="Z15" i="100"/>
  <c r="AA14" i="100"/>
  <c r="AB14" i="100" s="1"/>
  <c r="Z14" i="100"/>
  <c r="AA13" i="100"/>
  <c r="AB13" i="100" s="1"/>
  <c r="Z13" i="100"/>
  <c r="AA12" i="100"/>
  <c r="AB12" i="100" s="1"/>
  <c r="Z12" i="100"/>
  <c r="AA11" i="100"/>
  <c r="AB11" i="100" s="1"/>
  <c r="Z11" i="100"/>
  <c r="AA10" i="100"/>
  <c r="AB10" i="100" s="1"/>
  <c r="Z10" i="100"/>
  <c r="B10" i="100"/>
  <c r="B11" i="100" s="1"/>
  <c r="B12" i="100" s="1"/>
  <c r="B13" i="100" s="1"/>
  <c r="B14" i="100" s="1"/>
  <c r="B15" i="100" s="1"/>
  <c r="B16" i="100" s="1"/>
  <c r="B17" i="100" s="1"/>
  <c r="B18" i="100" s="1"/>
  <c r="B19" i="100" s="1"/>
  <c r="B20" i="100" s="1"/>
  <c r="B21" i="100" s="1"/>
  <c r="B22" i="100" s="1"/>
  <c r="B23" i="100" s="1"/>
  <c r="B24" i="100" s="1"/>
  <c r="B25" i="100" s="1"/>
  <c r="B26" i="100" s="1"/>
  <c r="B27" i="100" s="1"/>
  <c r="B28" i="100" s="1"/>
  <c r="B29" i="100" s="1"/>
  <c r="B30" i="100" s="1"/>
  <c r="B31" i="100" s="1"/>
  <c r="B32" i="100" s="1"/>
  <c r="B33" i="100" s="1"/>
  <c r="B34" i="100" s="1"/>
  <c r="B35" i="100" s="1"/>
  <c r="B36" i="100" s="1"/>
  <c r="B37" i="100" s="1"/>
  <c r="AA9" i="100"/>
  <c r="AB9" i="100" s="1"/>
  <c r="Z9" i="100"/>
  <c r="B9" i="100"/>
  <c r="AA8" i="100"/>
  <c r="AB8" i="100" s="1"/>
  <c r="Z8" i="100"/>
  <c r="C3" i="100"/>
  <c r="AA37" i="99"/>
  <c r="AB37" i="99" s="1"/>
  <c r="Z37" i="99"/>
  <c r="AA36" i="99"/>
  <c r="AB36" i="99" s="1"/>
  <c r="Z36" i="99"/>
  <c r="AA35" i="99"/>
  <c r="AB35" i="99" s="1"/>
  <c r="Z35" i="99"/>
  <c r="AA34" i="99"/>
  <c r="AB34" i="99" s="1"/>
  <c r="Z34" i="99"/>
  <c r="AA33" i="99"/>
  <c r="AB33" i="99" s="1"/>
  <c r="Z33" i="99"/>
  <c r="AA32" i="99"/>
  <c r="AB32" i="99" s="1"/>
  <c r="Z32" i="99"/>
  <c r="AA31" i="99"/>
  <c r="AB31" i="99" s="1"/>
  <c r="Z31" i="99"/>
  <c r="AA30" i="99"/>
  <c r="AB30" i="99" s="1"/>
  <c r="Z30" i="99"/>
  <c r="AA29" i="99"/>
  <c r="AB29" i="99" s="1"/>
  <c r="Z29" i="99"/>
  <c r="AA28" i="99"/>
  <c r="AB28" i="99" s="1"/>
  <c r="Z28" i="99"/>
  <c r="AA27" i="99"/>
  <c r="AB27" i="99" s="1"/>
  <c r="Z27" i="99"/>
  <c r="AA26" i="99"/>
  <c r="AB26" i="99" s="1"/>
  <c r="Z26" i="99"/>
  <c r="AA25" i="99"/>
  <c r="AB25" i="99" s="1"/>
  <c r="Z25" i="99"/>
  <c r="AA24" i="99"/>
  <c r="AB24" i="99" s="1"/>
  <c r="Z24" i="99"/>
  <c r="AA23" i="99"/>
  <c r="AB23" i="99" s="1"/>
  <c r="Z23" i="99"/>
  <c r="AA22" i="99"/>
  <c r="AB22" i="99" s="1"/>
  <c r="Z22" i="99"/>
  <c r="AA21" i="99"/>
  <c r="AB21" i="99" s="1"/>
  <c r="Z21" i="99"/>
  <c r="AA20" i="99"/>
  <c r="AB20" i="99" s="1"/>
  <c r="Z20" i="99"/>
  <c r="AA19" i="99"/>
  <c r="AB19" i="99" s="1"/>
  <c r="Z19" i="99"/>
  <c r="AA18" i="99"/>
  <c r="AB18" i="99" s="1"/>
  <c r="Z18" i="99"/>
  <c r="AA17" i="99"/>
  <c r="AB17" i="99" s="1"/>
  <c r="Z17" i="99"/>
  <c r="AA16" i="99"/>
  <c r="AB16" i="99" s="1"/>
  <c r="Z16" i="99"/>
  <c r="AA15" i="99"/>
  <c r="AB15" i="99" s="1"/>
  <c r="Z15" i="99"/>
  <c r="AA14" i="99"/>
  <c r="AB14" i="99" s="1"/>
  <c r="Z14" i="99"/>
  <c r="AA13" i="99"/>
  <c r="AB13" i="99" s="1"/>
  <c r="Z13" i="99"/>
  <c r="AA12" i="99"/>
  <c r="AB12" i="99" s="1"/>
  <c r="Z12" i="99"/>
  <c r="AA11" i="99"/>
  <c r="AB11" i="99" s="1"/>
  <c r="Z11" i="99"/>
  <c r="AA10" i="99"/>
  <c r="AB10" i="99" s="1"/>
  <c r="Z10" i="99"/>
  <c r="B10" i="99"/>
  <c r="B11" i="99" s="1"/>
  <c r="B12" i="99" s="1"/>
  <c r="B13" i="99" s="1"/>
  <c r="B14" i="99" s="1"/>
  <c r="B15" i="99" s="1"/>
  <c r="B16" i="99" s="1"/>
  <c r="B17" i="99" s="1"/>
  <c r="B18" i="99" s="1"/>
  <c r="B19" i="99" s="1"/>
  <c r="B20" i="99" s="1"/>
  <c r="B21" i="99" s="1"/>
  <c r="B22" i="99" s="1"/>
  <c r="B23" i="99" s="1"/>
  <c r="B24" i="99" s="1"/>
  <c r="B25" i="99" s="1"/>
  <c r="B26" i="99" s="1"/>
  <c r="B27" i="99" s="1"/>
  <c r="B28" i="99" s="1"/>
  <c r="B29" i="99" s="1"/>
  <c r="B30" i="99" s="1"/>
  <c r="B31" i="99" s="1"/>
  <c r="B32" i="99" s="1"/>
  <c r="B33" i="99" s="1"/>
  <c r="B34" i="99" s="1"/>
  <c r="B35" i="99" s="1"/>
  <c r="B36" i="99" s="1"/>
  <c r="B37" i="99" s="1"/>
  <c r="AA9" i="99"/>
  <c r="AB9" i="99" s="1"/>
  <c r="Z9" i="99"/>
  <c r="B9" i="99"/>
  <c r="AA8" i="99"/>
  <c r="AB8" i="99" s="1"/>
  <c r="Z8" i="99"/>
  <c r="C3" i="99"/>
  <c r="AA2" i="112" l="1"/>
  <c r="AA2" i="111"/>
  <c r="AA2" i="110"/>
  <c r="AA2" i="108"/>
  <c r="AA2" i="106"/>
  <c r="AA2" i="105"/>
  <c r="AA2" i="103"/>
  <c r="AA2" i="101"/>
  <c r="AA2" i="100"/>
  <c r="AA2" i="99"/>
  <c r="AA37" i="68"/>
  <c r="AA36" i="68"/>
  <c r="AA35" i="68"/>
  <c r="AA34" i="68"/>
  <c r="AA33" i="68"/>
  <c r="AA32" i="68"/>
  <c r="AA31" i="68"/>
  <c r="AA30" i="68"/>
  <c r="AA29" i="68"/>
  <c r="AA28" i="68"/>
  <c r="AA27" i="68"/>
  <c r="AA26" i="68"/>
  <c r="AA25" i="68"/>
  <c r="AA24" i="68"/>
  <c r="AA23" i="68"/>
  <c r="AA22" i="68"/>
  <c r="AA21" i="68"/>
  <c r="AA20" i="68"/>
  <c r="AA19" i="68"/>
  <c r="AA18" i="68"/>
  <c r="AA17" i="68"/>
  <c r="AA16" i="68"/>
  <c r="AA15" i="68"/>
  <c r="AA14" i="68"/>
  <c r="AA13" i="68"/>
  <c r="AA12" i="68"/>
  <c r="AA11" i="68"/>
  <c r="AA10" i="68"/>
  <c r="AA9" i="68"/>
  <c r="AA8" i="68"/>
  <c r="AA37" i="69"/>
  <c r="AA36" i="69"/>
  <c r="AA35" i="69"/>
  <c r="AA34" i="69"/>
  <c r="AA33" i="69"/>
  <c r="AA32" i="69"/>
  <c r="AA31" i="69"/>
  <c r="AA30" i="69"/>
  <c r="AA29" i="69"/>
  <c r="AA28" i="69"/>
  <c r="AA27" i="69"/>
  <c r="AA26" i="69"/>
  <c r="AA25" i="69"/>
  <c r="AA24" i="69"/>
  <c r="AA23" i="69"/>
  <c r="AA22" i="69"/>
  <c r="AA21" i="69"/>
  <c r="AA20" i="69"/>
  <c r="AA19" i="69"/>
  <c r="AA18" i="69"/>
  <c r="AA17" i="69"/>
  <c r="AA16" i="69"/>
  <c r="AA15" i="69"/>
  <c r="AA14" i="69"/>
  <c r="AA13" i="69"/>
  <c r="AA12" i="69"/>
  <c r="AA11" i="69"/>
  <c r="AA10" i="69"/>
  <c r="AA9" i="69"/>
  <c r="AA8" i="69"/>
  <c r="C3" i="69" l="1"/>
  <c r="Z8" i="69"/>
  <c r="AB8" i="69"/>
  <c r="B9" i="69"/>
  <c r="B10" i="69" s="1"/>
  <c r="B11" i="69" s="1"/>
  <c r="B12" i="69" s="1"/>
  <c r="B13" i="69" s="1"/>
  <c r="B14" i="69" s="1"/>
  <c r="B15" i="69" s="1"/>
  <c r="B16" i="69" s="1"/>
  <c r="B17" i="69" s="1"/>
  <c r="B18" i="69" s="1"/>
  <c r="B19" i="69" s="1"/>
  <c r="B20" i="69" s="1"/>
  <c r="B21" i="69" s="1"/>
  <c r="B22" i="69" s="1"/>
  <c r="B23" i="69" s="1"/>
  <c r="B24" i="69" s="1"/>
  <c r="B25" i="69" s="1"/>
  <c r="B26" i="69" s="1"/>
  <c r="B27" i="69" s="1"/>
  <c r="B28" i="69" s="1"/>
  <c r="B29" i="69" s="1"/>
  <c r="B30" i="69" s="1"/>
  <c r="B31" i="69" s="1"/>
  <c r="B32" i="69" s="1"/>
  <c r="B33" i="69" s="1"/>
  <c r="B34" i="69" s="1"/>
  <c r="B35" i="69" s="1"/>
  <c r="B36" i="69" s="1"/>
  <c r="B37" i="69" s="1"/>
  <c r="Z9" i="69"/>
  <c r="AB9" i="69"/>
  <c r="Z10" i="69"/>
  <c r="AB10" i="69"/>
  <c r="Z11" i="69"/>
  <c r="AB11" i="69"/>
  <c r="Z12" i="69"/>
  <c r="AB12" i="69"/>
  <c r="Z13" i="69"/>
  <c r="AB13" i="69"/>
  <c r="Z14" i="69"/>
  <c r="AB14" i="69"/>
  <c r="Z15" i="69"/>
  <c r="AB15" i="69"/>
  <c r="Z16" i="69"/>
  <c r="AB16" i="69"/>
  <c r="Z17" i="69"/>
  <c r="AB17" i="69"/>
  <c r="Z18" i="69"/>
  <c r="AB18" i="69"/>
  <c r="Z19" i="69"/>
  <c r="AB19" i="69"/>
  <c r="Z20" i="69"/>
  <c r="AB20" i="69"/>
  <c r="Z21" i="69"/>
  <c r="AB21" i="69"/>
  <c r="Z22" i="69"/>
  <c r="AB22" i="69"/>
  <c r="Z23" i="69"/>
  <c r="AB23" i="69"/>
  <c r="Z24" i="69"/>
  <c r="AB24" i="69"/>
  <c r="Z25" i="69"/>
  <c r="AB25" i="69"/>
  <c r="Z26" i="69"/>
  <c r="AB26" i="69"/>
  <c r="Z27" i="69"/>
  <c r="AB27" i="69"/>
  <c r="Z28" i="69"/>
  <c r="AB28" i="69"/>
  <c r="Z29" i="69"/>
  <c r="AB29" i="69"/>
  <c r="Z30" i="69"/>
  <c r="AB30" i="69"/>
  <c r="Z31" i="69"/>
  <c r="AB31" i="69"/>
  <c r="Z32" i="69"/>
  <c r="AB32" i="69"/>
  <c r="Z33" i="69"/>
  <c r="AB33" i="69"/>
  <c r="Z34" i="69"/>
  <c r="AB34" i="69"/>
  <c r="Z35" i="69"/>
  <c r="AB35" i="69"/>
  <c r="Z36" i="69"/>
  <c r="AB36" i="69"/>
  <c r="Z37" i="69"/>
  <c r="AB37" i="69"/>
  <c r="AA2" i="69" l="1"/>
  <c r="AS35" i="36" l="1"/>
  <c r="AQ35" i="36"/>
  <c r="AS11" i="36"/>
  <c r="AQ11" i="36"/>
  <c r="AB37" i="68"/>
  <c r="Z37" i="68"/>
  <c r="AB36" i="68"/>
  <c r="Z36" i="68"/>
  <c r="AB35" i="68"/>
  <c r="Z35" i="68"/>
  <c r="AB34" i="68"/>
  <c r="Z34" i="68"/>
  <c r="AB33" i="68"/>
  <c r="Z33" i="68"/>
  <c r="AB32" i="68"/>
  <c r="Z32" i="68"/>
  <c r="AB31" i="68"/>
  <c r="Z31" i="68"/>
  <c r="AB30" i="68"/>
  <c r="Z30" i="68"/>
  <c r="AB29" i="68"/>
  <c r="Z29" i="68"/>
  <c r="AB28" i="68"/>
  <c r="Z28" i="68"/>
  <c r="AB27" i="68"/>
  <c r="Z27" i="68"/>
  <c r="AB26" i="68"/>
  <c r="Z26" i="68"/>
  <c r="AB25" i="68"/>
  <c r="Z25" i="68"/>
  <c r="AB24" i="68"/>
  <c r="Z24" i="68"/>
  <c r="AB23" i="68"/>
  <c r="Z23" i="68"/>
  <c r="AB22" i="68"/>
  <c r="Z22" i="68"/>
  <c r="AB21" i="68"/>
  <c r="Z21" i="68"/>
  <c r="AB20" i="68"/>
  <c r="Z20" i="68"/>
  <c r="AB19" i="68"/>
  <c r="Z19" i="68"/>
  <c r="AB18" i="68"/>
  <c r="Z18" i="68"/>
  <c r="AB17" i="68"/>
  <c r="Z17" i="68"/>
  <c r="AB16" i="68"/>
  <c r="Z16" i="68"/>
  <c r="AB15" i="68"/>
  <c r="Z15" i="68"/>
  <c r="AB14" i="68"/>
  <c r="Z14" i="68"/>
  <c r="AB13" i="68"/>
  <c r="Z13" i="68"/>
  <c r="AB12" i="68"/>
  <c r="Z12" i="68"/>
  <c r="AB11" i="68"/>
  <c r="Z11" i="68"/>
  <c r="AB10" i="68"/>
  <c r="Z10" i="68"/>
  <c r="AB9" i="68"/>
  <c r="Z9" i="68"/>
  <c r="B9" i="68"/>
  <c r="B10" i="68" s="1"/>
  <c r="B11" i="68" s="1"/>
  <c r="B12" i="68" s="1"/>
  <c r="B13" i="68" s="1"/>
  <c r="B14" i="68" s="1"/>
  <c r="B15" i="68" s="1"/>
  <c r="B16" i="68" s="1"/>
  <c r="B17" i="68" s="1"/>
  <c r="B18" i="68" s="1"/>
  <c r="B19" i="68" s="1"/>
  <c r="B20" i="68" s="1"/>
  <c r="B21" i="68" s="1"/>
  <c r="B22" i="68" s="1"/>
  <c r="B23" i="68" s="1"/>
  <c r="B24" i="68" s="1"/>
  <c r="B25" i="68" s="1"/>
  <c r="B26" i="68" s="1"/>
  <c r="B27" i="68" s="1"/>
  <c r="B28" i="68" s="1"/>
  <c r="B29" i="68" s="1"/>
  <c r="B30" i="68" s="1"/>
  <c r="B31" i="68" s="1"/>
  <c r="B32" i="68" s="1"/>
  <c r="B33" i="68" s="1"/>
  <c r="B34" i="68" s="1"/>
  <c r="B35" i="68" s="1"/>
  <c r="B36" i="68" s="1"/>
  <c r="B37" i="68" s="1"/>
  <c r="AB8" i="68"/>
  <c r="Z8" i="68"/>
  <c r="C3" i="68"/>
  <c r="AA2" i="68" l="1"/>
  <c r="S34" i="50"/>
  <c r="O34" i="50"/>
  <c r="S33" i="50"/>
  <c r="O33" i="50"/>
  <c r="AS29" i="36" l="1"/>
  <c r="AS30" i="36" s="1"/>
  <c r="AS31" i="36" s="1"/>
  <c r="AF17" i="36" s="1"/>
  <c r="AQ29" i="36"/>
  <c r="AQ30" i="36" s="1"/>
  <c r="AQ31" i="36" s="1"/>
  <c r="AB17" i="36" s="1"/>
  <c r="AS10" i="36" l="1"/>
  <c r="AQ10" i="36"/>
  <c r="B33" i="50" l="1"/>
  <c r="AF9" i="36" l="1"/>
  <c r="AH9" i="36" s="1"/>
  <c r="AF10" i="36"/>
  <c r="AH10" i="36" s="1"/>
  <c r="AF11" i="36"/>
  <c r="AH11" i="36" s="1"/>
  <c r="AF12" i="36"/>
  <c r="AH12" i="36" s="1"/>
  <c r="AF13" i="36"/>
  <c r="AH13" i="36" s="1"/>
  <c r="AF14" i="36"/>
  <c r="AH14" i="36" s="1"/>
  <c r="AF15" i="36"/>
  <c r="AH15" i="36" s="1"/>
  <c r="AF16" i="36"/>
  <c r="AH16" i="36" s="1"/>
  <c r="AH17" i="36"/>
  <c r="AF18" i="36"/>
  <c r="AH18" i="36" s="1"/>
  <c r="AF19" i="36"/>
  <c r="AH19" i="36" s="1"/>
  <c r="AF20" i="36"/>
  <c r="AH20" i="36" s="1"/>
  <c r="AF21" i="36"/>
  <c r="AH21" i="36" s="1"/>
  <c r="AF22" i="36"/>
  <c r="AH22" i="36" s="1"/>
  <c r="AF23" i="36"/>
  <c r="AH23" i="36" s="1"/>
  <c r="AF24" i="36"/>
  <c r="AH24" i="36" s="1"/>
  <c r="AF25" i="36"/>
  <c r="AF26" i="36"/>
  <c r="AH26" i="36" s="1"/>
  <c r="AF27" i="36"/>
  <c r="AH27" i="36" s="1"/>
  <c r="AF28" i="36"/>
  <c r="AH28" i="36" s="1"/>
  <c r="AF29" i="36"/>
  <c r="AF30" i="36"/>
  <c r="AH30" i="36" s="1"/>
  <c r="AF31" i="36"/>
  <c r="AF32" i="36"/>
  <c r="AH32" i="36" s="1"/>
  <c r="AF33" i="36"/>
  <c r="AH33" i="36" s="1"/>
  <c r="AF34" i="36"/>
  <c r="AH34" i="36" s="1"/>
  <c r="AF35" i="36"/>
  <c r="AH35" i="36" s="1"/>
  <c r="AF36" i="36"/>
  <c r="AH36" i="36" s="1"/>
  <c r="AF37" i="36"/>
  <c r="AH37" i="36" s="1"/>
  <c r="AF38" i="36"/>
  <c r="AH38" i="36" s="1"/>
  <c r="AF39" i="36"/>
  <c r="AH39" i="36" s="1"/>
  <c r="AF40" i="36"/>
  <c r="AH40" i="36" s="1"/>
  <c r="AF41" i="36"/>
  <c r="AH41" i="36" s="1"/>
  <c r="AF42" i="36"/>
  <c r="AH42" i="36" s="1"/>
  <c r="AF8" i="36"/>
  <c r="AH8" i="36" s="1"/>
  <c r="AB8" i="36"/>
  <c r="AD8" i="36" s="1"/>
  <c r="AB9" i="36"/>
  <c r="AD9" i="36" s="1"/>
  <c r="AB10" i="36"/>
  <c r="AD10" i="36" s="1"/>
  <c r="AB11" i="36"/>
  <c r="AD11" i="36" s="1"/>
  <c r="AB12" i="36"/>
  <c r="AD12" i="36" s="1"/>
  <c r="AB13" i="36"/>
  <c r="AD13" i="36" s="1"/>
  <c r="AB14" i="36"/>
  <c r="AD14" i="36" s="1"/>
  <c r="AB15" i="36"/>
  <c r="AD15" i="36" s="1"/>
  <c r="AB16" i="36"/>
  <c r="AD16" i="36" s="1"/>
  <c r="AD17" i="36"/>
  <c r="AB18" i="36"/>
  <c r="AD18" i="36" s="1"/>
  <c r="AB19" i="36"/>
  <c r="AD19" i="36" s="1"/>
  <c r="AB20" i="36"/>
  <c r="AD20" i="36" s="1"/>
  <c r="AB21" i="36"/>
  <c r="AD21" i="36" s="1"/>
  <c r="AB22" i="36"/>
  <c r="AD22" i="36" s="1"/>
  <c r="AB23" i="36"/>
  <c r="AD23" i="36" s="1"/>
  <c r="AB24" i="36"/>
  <c r="AD24" i="36" s="1"/>
  <c r="AB25" i="36"/>
  <c r="AD25" i="36" s="1"/>
  <c r="AB26" i="36"/>
  <c r="AD26" i="36" s="1"/>
  <c r="AB27" i="36"/>
  <c r="AD27" i="36" s="1"/>
  <c r="AB28" i="36"/>
  <c r="AD28" i="36" s="1"/>
  <c r="AB29" i="36"/>
  <c r="AB30" i="36"/>
  <c r="AD30" i="36" s="1"/>
  <c r="AB31" i="36"/>
  <c r="AB32" i="36"/>
  <c r="AD32" i="36" s="1"/>
  <c r="AB33" i="36"/>
  <c r="AD33" i="36" s="1"/>
  <c r="AB34" i="36"/>
  <c r="AD34" i="36" s="1"/>
  <c r="AB35" i="36"/>
  <c r="AD35" i="36" s="1"/>
  <c r="AB36" i="36"/>
  <c r="AD36" i="36" s="1"/>
  <c r="AB37" i="36"/>
  <c r="AD37" i="36" s="1"/>
  <c r="AB38" i="36"/>
  <c r="AD38" i="36" s="1"/>
  <c r="AB39" i="36"/>
  <c r="AD39" i="36" s="1"/>
  <c r="AB40" i="36"/>
  <c r="AD40" i="36" s="1"/>
  <c r="AB41" i="36"/>
  <c r="AD41" i="36" s="1"/>
  <c r="AB42" i="36"/>
  <c r="AD42" i="36" s="1"/>
  <c r="AF6" i="36"/>
  <c r="B34" i="50" s="1"/>
  <c r="AH25" i="36" l="1"/>
  <c r="AH31" i="36"/>
  <c r="AD31" i="36"/>
  <c r="AH29" i="36"/>
  <c r="AD29" i="36"/>
  <c r="G34" i="50" l="1"/>
  <c r="G33" i="50"/>
  <c r="J2" i="50"/>
  <c r="J1" i="50"/>
  <c r="C3" i="36" l="1"/>
  <c r="J2" i="36" l="1"/>
  <c r="J1" i="3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AD7" authorId="0" shapeId="0" xr:uid="{00000000-0006-0000-03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index領域等を考慮し2倍+更新情報60Byte</t>
        </r>
      </text>
    </comment>
    <comment ref="AH7" authorId="0" shapeId="0" xr:uid="{00000000-0006-0000-0300-000002000000}">
      <text>
        <r>
          <rPr>
            <b/>
            <sz val="9"/>
            <color indexed="81"/>
            <rFont val="ＭＳ Ｐゴシック"/>
            <family val="3"/>
            <charset val="128"/>
          </rPr>
          <t>index領域等を考慮し2倍+更新情報60Byte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M7" authorId="0" shapeId="0" xr:uid="{14481066-E7AF-43CD-B661-6DB179210F82}">
      <text>
        <r>
          <rPr>
            <b/>
            <sz val="9"/>
            <color indexed="81"/>
            <rFont val="ＭＳ Ｐゴシック"/>
            <family val="3"/>
            <charset val="128"/>
          </rPr>
          <t>NotNUll制約
PKには付けない</t>
        </r>
      </text>
    </comment>
    <comment ref="N7" authorId="0" shapeId="0" xr:uid="{E2965249-2C7A-42AA-B993-21B32E4E1E9A}">
      <text>
        <r>
          <rPr>
            <b/>
            <sz val="9"/>
            <color indexed="81"/>
            <rFont val="ＭＳ Ｐゴシック"/>
            <family val="3"/>
            <charset val="128"/>
          </rPr>
          <t>Default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M7" authorId="0" shapeId="0" xr:uid="{9157BD90-243A-4A10-BF67-FF9527EBB572}">
      <text>
        <r>
          <rPr>
            <b/>
            <sz val="9"/>
            <color indexed="81"/>
            <rFont val="ＭＳ Ｐゴシック"/>
            <family val="3"/>
            <charset val="128"/>
          </rPr>
          <t>NotNUll制約
PKには付けない</t>
        </r>
      </text>
    </comment>
    <comment ref="N7" authorId="0" shapeId="0" xr:uid="{31493407-10DB-44CB-AC0C-5B32DD633CBB}">
      <text>
        <r>
          <rPr>
            <b/>
            <sz val="9"/>
            <color indexed="81"/>
            <rFont val="ＭＳ Ｐゴシック"/>
            <family val="3"/>
            <charset val="128"/>
          </rPr>
          <t>Default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M7" authorId="0" shapeId="0" xr:uid="{00000000-0006-0000-06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NotNUll制約
PKには付けない</t>
        </r>
      </text>
    </comment>
    <comment ref="N7" authorId="0" shapeId="0" xr:uid="{00000000-0006-0000-0600-000002000000}">
      <text>
        <r>
          <rPr>
            <b/>
            <sz val="9"/>
            <color indexed="81"/>
            <rFont val="ＭＳ Ｐゴシック"/>
            <family val="3"/>
            <charset val="128"/>
          </rPr>
          <t>Default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M7" authorId="0" shapeId="0" xr:uid="{2BE4EBDD-1EA4-4DC7-B11F-21A4860AC1C7}">
      <text>
        <r>
          <rPr>
            <b/>
            <sz val="9"/>
            <color indexed="81"/>
            <rFont val="ＭＳ Ｐゴシック"/>
            <family val="3"/>
            <charset val="128"/>
          </rPr>
          <t>NotNUll制約
PKには付けない</t>
        </r>
      </text>
    </comment>
    <comment ref="N7" authorId="0" shapeId="0" xr:uid="{C75027E7-D95B-4E4E-A975-443F2FC7D92C}">
      <text>
        <r>
          <rPr>
            <b/>
            <sz val="9"/>
            <color indexed="81"/>
            <rFont val="ＭＳ Ｐゴシック"/>
            <family val="3"/>
            <charset val="128"/>
          </rPr>
          <t>Default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M7" authorId="0" shapeId="0" xr:uid="{00000000-0006-0000-07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NotNUll制約
PKには付けない</t>
        </r>
      </text>
    </comment>
    <comment ref="N7" authorId="0" shapeId="0" xr:uid="{00000000-0006-0000-0700-000002000000}">
      <text>
        <r>
          <rPr>
            <b/>
            <sz val="9"/>
            <color indexed="81"/>
            <rFont val="ＭＳ Ｐゴシック"/>
            <family val="3"/>
            <charset val="128"/>
          </rPr>
          <t>Default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M7" authorId="0" shapeId="0" xr:uid="{FDF2E4BE-28D3-4209-8526-3DACD60894FF}">
      <text>
        <r>
          <rPr>
            <b/>
            <sz val="9"/>
            <color indexed="81"/>
            <rFont val="ＭＳ Ｐゴシック"/>
            <family val="3"/>
            <charset val="128"/>
          </rPr>
          <t>NotNUll制約
PKには付けない</t>
        </r>
      </text>
    </comment>
    <comment ref="N7" authorId="0" shapeId="0" xr:uid="{A06128A2-1283-40F8-BB1B-EBB33F1C68D0}">
      <text>
        <r>
          <rPr>
            <b/>
            <sz val="9"/>
            <color indexed="81"/>
            <rFont val="ＭＳ Ｐゴシック"/>
            <family val="3"/>
            <charset val="128"/>
          </rPr>
          <t>Default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M7" authorId="0" shapeId="0" xr:uid="{F19C01AA-1E53-46F7-9F68-96DD37BC8AB4}">
      <text>
        <r>
          <rPr>
            <b/>
            <sz val="9"/>
            <color indexed="81"/>
            <rFont val="ＭＳ Ｐゴシック"/>
            <family val="3"/>
            <charset val="128"/>
          </rPr>
          <t>NotNUll制約
PKには付けない</t>
        </r>
      </text>
    </comment>
    <comment ref="N7" authorId="0" shapeId="0" xr:uid="{69905E98-2E88-4704-BA65-E81F7F17A616}">
      <text>
        <r>
          <rPr>
            <b/>
            <sz val="9"/>
            <color indexed="81"/>
            <rFont val="ＭＳ Ｐゴシック"/>
            <family val="3"/>
            <charset val="128"/>
          </rPr>
          <t>Default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M7" authorId="0" shapeId="0" xr:uid="{9E508783-6579-401E-9F67-4A34B04AF336}">
      <text>
        <r>
          <rPr>
            <b/>
            <sz val="9"/>
            <color indexed="81"/>
            <rFont val="ＭＳ Ｐゴシック"/>
            <family val="3"/>
            <charset val="128"/>
          </rPr>
          <t>NotNUll制約
PKには付けない</t>
        </r>
      </text>
    </comment>
    <comment ref="N7" authorId="0" shapeId="0" xr:uid="{F49C016A-63AD-4B98-945C-C1C9FDAF96DF}">
      <text>
        <r>
          <rPr>
            <b/>
            <sz val="9"/>
            <color indexed="81"/>
            <rFont val="ＭＳ Ｐゴシック"/>
            <family val="3"/>
            <charset val="128"/>
          </rPr>
          <t>Default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M7" authorId="0" shapeId="0" xr:uid="{1EDABB4A-3B7C-442D-BF8D-B7393AE79EFF}">
      <text>
        <r>
          <rPr>
            <b/>
            <sz val="9"/>
            <color indexed="81"/>
            <rFont val="ＭＳ Ｐゴシック"/>
            <family val="3"/>
            <charset val="128"/>
          </rPr>
          <t>NotNUll制約
PKには付けない</t>
        </r>
      </text>
    </comment>
    <comment ref="N7" authorId="0" shapeId="0" xr:uid="{D82D3F42-F85F-467D-9B66-40E3392923AC}">
      <text>
        <r>
          <rPr>
            <b/>
            <sz val="9"/>
            <color indexed="81"/>
            <rFont val="ＭＳ Ｐゴシック"/>
            <family val="3"/>
            <charset val="128"/>
          </rPr>
          <t>Default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M7" authorId="0" shapeId="0" xr:uid="{6524FA72-2A28-4CF2-8CC3-C0E4EF56E357}">
      <text>
        <r>
          <rPr>
            <b/>
            <sz val="9"/>
            <color indexed="81"/>
            <rFont val="ＭＳ Ｐゴシック"/>
            <family val="3"/>
            <charset val="128"/>
          </rPr>
          <t>NotNUll制約
PKには付けない</t>
        </r>
      </text>
    </comment>
    <comment ref="N7" authorId="0" shapeId="0" xr:uid="{7751655A-461D-4DCF-A614-2AD56CFCE5B6}">
      <text>
        <r>
          <rPr>
            <b/>
            <sz val="9"/>
            <color indexed="81"/>
            <rFont val="ＭＳ Ｐゴシック"/>
            <family val="3"/>
            <charset val="128"/>
          </rPr>
          <t>Default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M7" authorId="0" shapeId="0" xr:uid="{7F4373F4-66A3-4220-8D10-5B41DE620BAA}">
      <text>
        <r>
          <rPr>
            <b/>
            <sz val="9"/>
            <color indexed="81"/>
            <rFont val="ＭＳ Ｐゴシック"/>
            <family val="3"/>
            <charset val="128"/>
          </rPr>
          <t>NotNUll制約
PKには付けない</t>
        </r>
      </text>
    </comment>
    <comment ref="N7" authorId="0" shapeId="0" xr:uid="{45601FAE-428B-4035-B39A-38B86E372160}">
      <text>
        <r>
          <rPr>
            <b/>
            <sz val="9"/>
            <color indexed="81"/>
            <rFont val="ＭＳ Ｐゴシック"/>
            <family val="3"/>
            <charset val="128"/>
          </rPr>
          <t>Default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M7" authorId="0" shapeId="0" xr:uid="{641D53F8-8EFB-4B16-860A-B96ABED799AC}">
      <text>
        <r>
          <rPr>
            <b/>
            <sz val="9"/>
            <color indexed="81"/>
            <rFont val="ＭＳ Ｐゴシック"/>
            <family val="3"/>
            <charset val="128"/>
          </rPr>
          <t>NotNUll制約
PKには付けない</t>
        </r>
      </text>
    </comment>
    <comment ref="N7" authorId="0" shapeId="0" xr:uid="{4CC8D31B-903E-4B72-8A42-8E063E10FDC3}">
      <text>
        <r>
          <rPr>
            <b/>
            <sz val="9"/>
            <color indexed="81"/>
            <rFont val="ＭＳ Ｐゴシック"/>
            <family val="3"/>
            <charset val="128"/>
          </rPr>
          <t>Default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M7" authorId="0" shapeId="0" xr:uid="{527F4DDD-24DA-4974-AF53-0FDEDB61B329}">
      <text>
        <r>
          <rPr>
            <b/>
            <sz val="9"/>
            <color indexed="81"/>
            <rFont val="ＭＳ Ｐゴシック"/>
            <family val="3"/>
            <charset val="128"/>
          </rPr>
          <t>NotNUll制約
PKには付けない</t>
        </r>
      </text>
    </comment>
    <comment ref="N7" authorId="0" shapeId="0" xr:uid="{9C91E8E5-8B2D-4043-A97E-3B2BF3356BA1}">
      <text>
        <r>
          <rPr>
            <b/>
            <sz val="9"/>
            <color indexed="81"/>
            <rFont val="ＭＳ Ｐゴシック"/>
            <family val="3"/>
            <charset val="128"/>
          </rPr>
          <t>Default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M7" authorId="0" shapeId="0" xr:uid="{F6EDD7C0-CC66-4DE5-9770-C546A452A142}">
      <text>
        <r>
          <rPr>
            <b/>
            <sz val="9"/>
            <color indexed="81"/>
            <rFont val="ＭＳ Ｐゴシック"/>
            <family val="3"/>
            <charset val="128"/>
          </rPr>
          <t>NotNUll制約
PKには付けない</t>
        </r>
      </text>
    </comment>
    <comment ref="N7" authorId="0" shapeId="0" xr:uid="{9E3D8E4F-9CB9-4101-9AA9-3B286AB7A01F}">
      <text>
        <r>
          <rPr>
            <b/>
            <sz val="9"/>
            <color indexed="81"/>
            <rFont val="ＭＳ Ｐゴシック"/>
            <family val="3"/>
            <charset val="128"/>
          </rPr>
          <t>Default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M7" authorId="0" shapeId="0" xr:uid="{58BDD03E-76FE-47A7-9AA6-237A50709605}">
      <text>
        <r>
          <rPr>
            <b/>
            <sz val="9"/>
            <color indexed="81"/>
            <rFont val="ＭＳ Ｐゴシック"/>
            <family val="3"/>
            <charset val="128"/>
          </rPr>
          <t>NotNUll制約
PKには付けない</t>
        </r>
      </text>
    </comment>
    <comment ref="N7" authorId="0" shapeId="0" xr:uid="{653E9E89-12BA-45FF-805C-B715C63E8551}">
      <text>
        <r>
          <rPr>
            <b/>
            <sz val="9"/>
            <color indexed="81"/>
            <rFont val="ＭＳ Ｐゴシック"/>
            <family val="3"/>
            <charset val="128"/>
          </rPr>
          <t>Default</t>
        </r>
      </text>
    </comment>
  </commentList>
</comments>
</file>

<file path=xl/sharedStrings.xml><?xml version="1.0" encoding="utf-8"?>
<sst xmlns="http://schemas.openxmlformats.org/spreadsheetml/2006/main" count="1075" uniqueCount="352">
  <si>
    <t>システム名</t>
    <phoneticPr fontId="1"/>
  </si>
  <si>
    <t>サブシステム名</t>
    <phoneticPr fontId="1"/>
  </si>
  <si>
    <t>更新履歴</t>
    <rPh sb="0" eb="2">
      <t>コウシン</t>
    </rPh>
    <rPh sb="2" eb="4">
      <t>リレキ</t>
    </rPh>
    <phoneticPr fontId="1"/>
  </si>
  <si>
    <t>バージョン</t>
    <phoneticPr fontId="1"/>
  </si>
  <si>
    <t>作成・更新日</t>
    <rPh sb="0" eb="2">
      <t>サクセイ</t>
    </rPh>
    <rPh sb="3" eb="5">
      <t>コウシン</t>
    </rPh>
    <rPh sb="5" eb="6">
      <t>ビ</t>
    </rPh>
    <phoneticPr fontId="1"/>
  </si>
  <si>
    <t>システム名</t>
    <rPh sb="4" eb="5">
      <t>メイ</t>
    </rPh>
    <phoneticPr fontId="7"/>
  </si>
  <si>
    <t>サブシステム名</t>
    <rPh sb="6" eb="7">
      <t>メイ</t>
    </rPh>
    <phoneticPr fontId="7"/>
  </si>
  <si>
    <t>作成者</t>
    <rPh sb="0" eb="3">
      <t>サクセイシャ</t>
    </rPh>
    <phoneticPr fontId="7"/>
  </si>
  <si>
    <t>作成日</t>
    <rPh sb="0" eb="2">
      <t>サクセイ</t>
    </rPh>
    <rPh sb="2" eb="3">
      <t>ヒ</t>
    </rPh>
    <phoneticPr fontId="7"/>
  </si>
  <si>
    <t>更新日</t>
    <rPh sb="0" eb="2">
      <t>コウシン</t>
    </rPh>
    <rPh sb="2" eb="3">
      <t>ヒ</t>
    </rPh>
    <phoneticPr fontId="7"/>
  </si>
  <si>
    <t>更新者</t>
    <rPh sb="0" eb="3">
      <t>コウシンシャ</t>
    </rPh>
    <phoneticPr fontId="7"/>
  </si>
  <si>
    <t>作成・更新者</t>
    <rPh sb="0" eb="2">
      <t>サクセイ</t>
    </rPh>
    <rPh sb="3" eb="5">
      <t>コウシン</t>
    </rPh>
    <rPh sb="5" eb="6">
      <t>シャ</t>
    </rPh>
    <phoneticPr fontId="1"/>
  </si>
  <si>
    <t>更新理由</t>
    <rPh sb="0" eb="2">
      <t>コウシン</t>
    </rPh>
    <rPh sb="2" eb="4">
      <t>リユウ</t>
    </rPh>
    <phoneticPr fontId="1"/>
  </si>
  <si>
    <t>システムID</t>
    <phoneticPr fontId="1"/>
  </si>
  <si>
    <t>サブシステムID</t>
    <phoneticPr fontId="1"/>
  </si>
  <si>
    <t>凡例</t>
    <rPh sb="0" eb="2">
      <t>ハンレイ</t>
    </rPh>
    <phoneticPr fontId="7"/>
  </si>
  <si>
    <t>データベース定義</t>
    <rPh sb="6" eb="8">
      <t>テイギ</t>
    </rPh>
    <phoneticPr fontId="1"/>
  </si>
  <si>
    <t>ER図</t>
    <rPh sb="2" eb="3">
      <t>ズ</t>
    </rPh>
    <phoneticPr fontId="7"/>
  </si>
  <si>
    <t>　</t>
    <phoneticPr fontId="7"/>
  </si>
  <si>
    <t>資料番号</t>
    <phoneticPr fontId="7"/>
  </si>
  <si>
    <t xml:space="preserve"> 訂符</t>
    <phoneticPr fontId="7"/>
  </si>
  <si>
    <t>ページ</t>
    <phoneticPr fontId="7"/>
  </si>
  <si>
    <t>／</t>
    <phoneticPr fontId="7"/>
  </si>
  <si>
    <t xml:space="preserve"> 題名</t>
    <rPh sb="1" eb="3">
      <t>ダイメイ</t>
    </rPh>
    <phoneticPr fontId="7"/>
  </si>
  <si>
    <t>データベースのネーミングルール</t>
    <phoneticPr fontId="7"/>
  </si>
  <si>
    <t>1.目的</t>
    <rPh sb="2" eb="4">
      <t>モクテキ</t>
    </rPh>
    <phoneticPr fontId="7"/>
  </si>
  <si>
    <t>データベースの命名ルールを明確にし、社内で標準的なデータベースを作成できるようにする。</t>
    <rPh sb="7" eb="9">
      <t>メイメイ</t>
    </rPh>
    <rPh sb="13" eb="15">
      <t>メイカク</t>
    </rPh>
    <rPh sb="18" eb="20">
      <t>シャナイ</t>
    </rPh>
    <rPh sb="21" eb="24">
      <t>ヒョウジュンテキ</t>
    </rPh>
    <rPh sb="32" eb="34">
      <t>サクセイ</t>
    </rPh>
    <phoneticPr fontId="7"/>
  </si>
  <si>
    <t>2.適用範囲</t>
    <rPh sb="2" eb="4">
      <t>テキヨウ</t>
    </rPh>
    <rPh sb="4" eb="6">
      <t>ハンイ</t>
    </rPh>
    <phoneticPr fontId="7"/>
  </si>
  <si>
    <t>社内で作成するシステム全般に適用する。</t>
    <rPh sb="0" eb="2">
      <t>シャナイ</t>
    </rPh>
    <rPh sb="3" eb="5">
      <t>サクセイ</t>
    </rPh>
    <rPh sb="11" eb="13">
      <t>ゼンパン</t>
    </rPh>
    <rPh sb="14" eb="16">
      <t>テキヨウ</t>
    </rPh>
    <phoneticPr fontId="7"/>
  </si>
  <si>
    <t>客先から指定があった場合は、そちらに従う。</t>
    <rPh sb="0" eb="2">
      <t>キャクサキ</t>
    </rPh>
    <rPh sb="4" eb="6">
      <t>シテイ</t>
    </rPh>
    <rPh sb="10" eb="12">
      <t>バアイ</t>
    </rPh>
    <rPh sb="18" eb="19">
      <t>シタガ</t>
    </rPh>
    <phoneticPr fontId="7"/>
  </si>
  <si>
    <t>3.ネーミングルール</t>
    <phoneticPr fontId="7"/>
  </si>
  <si>
    <t>(1)DB名</t>
    <rPh sb="5" eb="6">
      <t>メイ</t>
    </rPh>
    <phoneticPr fontId="7"/>
  </si>
  <si>
    <r>
      <t>db_</t>
    </r>
    <r>
      <rPr>
        <b/>
        <i/>
        <u/>
        <sz val="11"/>
        <color rgb="FF0070C0"/>
        <rFont val="ＭＳ Ｐゴシック"/>
        <family val="3"/>
        <charset val="128"/>
      </rPr>
      <t>xxxxxx</t>
    </r>
    <phoneticPr fontId="7"/>
  </si>
  <si>
    <t>db_</t>
    <phoneticPr fontId="7"/>
  </si>
  <si>
    <t>：固定</t>
    <rPh sb="1" eb="3">
      <t>コテイ</t>
    </rPh>
    <phoneticPr fontId="7"/>
  </si>
  <si>
    <t>xxxxxx</t>
    <phoneticPr fontId="7"/>
  </si>
  <si>
    <t>：案件を識別できる名称。固有名詞を除き小文字を使用。</t>
  </si>
  <si>
    <t>(2)テーブル名</t>
    <rPh sb="7" eb="8">
      <t>メイ</t>
    </rPh>
    <phoneticPr fontId="7"/>
  </si>
  <si>
    <t>種類</t>
    <rPh sb="0" eb="2">
      <t>シュルイ</t>
    </rPh>
    <phoneticPr fontId="7"/>
  </si>
  <si>
    <t>パターン</t>
    <phoneticPr fontId="7"/>
  </si>
  <si>
    <t>マスタ</t>
    <phoneticPr fontId="7"/>
  </si>
  <si>
    <r>
      <t>mst_</t>
    </r>
    <r>
      <rPr>
        <b/>
        <i/>
        <u/>
        <sz val="11"/>
        <color rgb="FF0070C0"/>
        <rFont val="ＭＳ Ｐゴシック"/>
        <family val="3"/>
        <charset val="128"/>
      </rPr>
      <t>xxxYyy</t>
    </r>
    <phoneticPr fontId="7"/>
  </si>
  <si>
    <t>トランザクション</t>
    <phoneticPr fontId="7"/>
  </si>
  <si>
    <r>
      <t>trn_</t>
    </r>
    <r>
      <rPr>
        <b/>
        <i/>
        <u/>
        <sz val="11"/>
        <color rgb="FF0070C0"/>
        <rFont val="ＭＳ Ｐゴシック"/>
        <family val="3"/>
        <charset val="128"/>
      </rPr>
      <t>xxxYyy</t>
    </r>
    <phoneticPr fontId="7"/>
  </si>
  <si>
    <t>ワーク</t>
    <phoneticPr fontId="7"/>
  </si>
  <si>
    <t>先頭3字+"_"</t>
    <rPh sb="0" eb="2">
      <t>セントウ</t>
    </rPh>
    <rPh sb="3" eb="4">
      <t>ジ</t>
    </rPh>
    <phoneticPr fontId="7"/>
  </si>
  <si>
    <t>xxxYyy</t>
    <phoneticPr fontId="7"/>
  </si>
  <si>
    <t>：テーブルの性質が識別できる名称。原則英語表記、複数単語を</t>
    <rPh sb="6" eb="8">
      <t>セイシツ</t>
    </rPh>
    <rPh sb="9" eb="11">
      <t>シキベツ</t>
    </rPh>
    <rPh sb="14" eb="16">
      <t>メイショウ</t>
    </rPh>
    <rPh sb="17" eb="19">
      <t>ゲンソク</t>
    </rPh>
    <rPh sb="19" eb="21">
      <t>エイゴ</t>
    </rPh>
    <rPh sb="21" eb="23">
      <t>ヒョウキ</t>
    </rPh>
    <rPh sb="24" eb="26">
      <t>フクスウ</t>
    </rPh>
    <rPh sb="26" eb="28">
      <t>タンゴ</t>
    </rPh>
    <phoneticPr fontId="7"/>
  </si>
  <si>
    <t>つなげる場合は、先頭文字を大文字にする(Javaと同じ)。</t>
    <rPh sb="8" eb="10">
      <t>セントウ</t>
    </rPh>
    <rPh sb="10" eb="12">
      <t>モジ</t>
    </rPh>
    <rPh sb="13" eb="16">
      <t>オオモジ</t>
    </rPh>
    <rPh sb="25" eb="26">
      <t>オナ</t>
    </rPh>
    <phoneticPr fontId="7"/>
  </si>
  <si>
    <t>(3)項目名</t>
    <rPh sb="3" eb="5">
      <t>コウモク</t>
    </rPh>
    <rPh sb="5" eb="6">
      <t>メイ</t>
    </rPh>
    <phoneticPr fontId="7"/>
  </si>
  <si>
    <t>：項目の内容が識別できる名称。原則英語表記、複数単語を</t>
    <rPh sb="1" eb="3">
      <t>コウモク</t>
    </rPh>
    <rPh sb="4" eb="6">
      <t>ナイヨウ</t>
    </rPh>
    <rPh sb="7" eb="9">
      <t>シキベツ</t>
    </rPh>
    <rPh sb="12" eb="14">
      <t>メイショウ</t>
    </rPh>
    <phoneticPr fontId="7"/>
  </si>
  <si>
    <t>(4)ビュー名</t>
    <rPh sb="6" eb="7">
      <t>メイ</t>
    </rPh>
    <phoneticPr fontId="7"/>
  </si>
  <si>
    <r>
      <t>vw_</t>
    </r>
    <r>
      <rPr>
        <b/>
        <i/>
        <u/>
        <sz val="11"/>
        <color rgb="FF0070C0"/>
        <rFont val="ＭＳ Ｐゴシック"/>
        <family val="3"/>
        <charset val="128"/>
      </rPr>
      <t>xxxYyy</t>
    </r>
    <phoneticPr fontId="7"/>
  </si>
  <si>
    <t>× 　　</t>
    <phoneticPr fontId="7"/>
  </si>
  <si>
    <t>vw_</t>
    <phoneticPr fontId="7"/>
  </si>
  <si>
    <t>：ビューの内容が識別できる名称。原則英語表記、複数単語を</t>
    <rPh sb="5" eb="7">
      <t>ナイヨウ</t>
    </rPh>
    <rPh sb="8" eb="10">
      <t>シキベツ</t>
    </rPh>
    <rPh sb="13" eb="15">
      <t>メイショウ</t>
    </rPh>
    <phoneticPr fontId="7"/>
  </si>
  <si>
    <t>合計 　　</t>
    <rPh sb="0" eb="2">
      <t>ゴウケイ</t>
    </rPh>
    <phoneticPr fontId="7"/>
  </si>
  <si>
    <t>訂符</t>
    <phoneticPr fontId="7"/>
  </si>
  <si>
    <t>年　月　日</t>
    <phoneticPr fontId="7"/>
  </si>
  <si>
    <t>認可</t>
    <phoneticPr fontId="7"/>
  </si>
  <si>
    <t>点検</t>
    <phoneticPr fontId="7"/>
  </si>
  <si>
    <t>改訂者</t>
    <phoneticPr fontId="7"/>
  </si>
  <si>
    <t>改訂ページ</t>
    <phoneticPr fontId="7"/>
  </si>
  <si>
    <t>摘　　要</t>
    <phoneticPr fontId="7"/>
  </si>
  <si>
    <t>認可</t>
    <rPh sb="0" eb="2">
      <t>ニンカ</t>
    </rPh>
    <phoneticPr fontId="7"/>
  </si>
  <si>
    <t>点検</t>
    <rPh sb="0" eb="2">
      <t>テンケン</t>
    </rPh>
    <phoneticPr fontId="7"/>
  </si>
  <si>
    <t>作成</t>
    <rPh sb="0" eb="2">
      <t>サクセイ</t>
    </rPh>
    <phoneticPr fontId="7"/>
  </si>
  <si>
    <t>文書コード</t>
    <phoneticPr fontId="7"/>
  </si>
  <si>
    <t xml:space="preserve">Ａ４× </t>
    <phoneticPr fontId="7"/>
  </si>
  <si>
    <t>　</t>
    <phoneticPr fontId="7"/>
  </si>
  <si>
    <t>補助コード</t>
    <phoneticPr fontId="7"/>
  </si>
  <si>
    <t>Ａ３× 　　</t>
    <phoneticPr fontId="7"/>
  </si>
  <si>
    <t>Ｈ27年4月29日</t>
    <phoneticPr fontId="7"/>
  </si>
  <si>
    <t>保存期限</t>
    <phoneticPr fontId="7"/>
  </si>
  <si>
    <t>受</t>
    <phoneticPr fontId="7"/>
  </si>
  <si>
    <t>発</t>
    <rPh sb="0" eb="1">
      <t>ハツ</t>
    </rPh>
    <phoneticPr fontId="7"/>
  </si>
  <si>
    <t>菱友技研株式会社</t>
    <rPh sb="0" eb="2">
      <t>リョウユウ</t>
    </rPh>
    <rPh sb="2" eb="4">
      <t>ギケン</t>
    </rPh>
    <rPh sb="4" eb="6">
      <t>カブシキ</t>
    </rPh>
    <rPh sb="6" eb="8">
      <t>カイシャ</t>
    </rPh>
    <phoneticPr fontId="7"/>
  </si>
  <si>
    <t>資料区分</t>
    <phoneticPr fontId="7"/>
  </si>
  <si>
    <t>□：ＴＮ</t>
    <phoneticPr fontId="7"/>
  </si>
  <si>
    <t>□：ＴＮ-Ｐ</t>
    <phoneticPr fontId="7"/>
  </si>
  <si>
    <t>□：ＴＭ</t>
    <phoneticPr fontId="7"/>
  </si>
  <si>
    <t>テーブル項目定義</t>
    <rPh sb="4" eb="6">
      <t>コウモク</t>
    </rPh>
    <rPh sb="6" eb="8">
      <t>テイギ</t>
    </rPh>
    <phoneticPr fontId="7"/>
  </si>
  <si>
    <t>論理名</t>
    <rPh sb="0" eb="2">
      <t>ロンリ</t>
    </rPh>
    <rPh sb="2" eb="3">
      <t>メイ</t>
    </rPh>
    <phoneticPr fontId="1"/>
  </si>
  <si>
    <t>物理名</t>
    <rPh sb="0" eb="2">
      <t>ブツリ</t>
    </rPh>
    <rPh sb="2" eb="3">
      <t>メイ</t>
    </rPh>
    <phoneticPr fontId="1"/>
  </si>
  <si>
    <t>№</t>
    <phoneticPr fontId="1"/>
  </si>
  <si>
    <t>データ型</t>
    <rPh sb="3" eb="4">
      <t>カタ</t>
    </rPh>
    <phoneticPr fontId="1"/>
  </si>
  <si>
    <t>PK</t>
    <phoneticPr fontId="1"/>
  </si>
  <si>
    <t>NNull</t>
    <phoneticPr fontId="1"/>
  </si>
  <si>
    <t>Unique</t>
    <phoneticPr fontId="1"/>
  </si>
  <si>
    <t>IDX</t>
    <phoneticPr fontId="1"/>
  </si>
  <si>
    <t>備考</t>
    <rPh sb="0" eb="2">
      <t>ビコウ</t>
    </rPh>
    <phoneticPr fontId="1"/>
  </si>
  <si>
    <t>int</t>
    <phoneticPr fontId="1"/>
  </si>
  <si>
    <t>○</t>
    <phoneticPr fontId="1"/>
  </si>
  <si>
    <t>テーブル項目定義書</t>
    <rPh sb="4" eb="6">
      <t>コウモク</t>
    </rPh>
    <rPh sb="6" eb="8">
      <t>テイギ</t>
    </rPh>
    <rPh sb="8" eb="9">
      <t>ショ</t>
    </rPh>
    <phoneticPr fontId="7"/>
  </si>
  <si>
    <t>1</t>
    <phoneticPr fontId="1"/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</si>
  <si>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</si>
  <si>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</si>
  <si>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</si>
  <si>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</si>
  <si>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</si>
  <si>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</si>
  <si>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</si>
  <si>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</si>
  <si>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</si>
  <si>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</si>
  <si>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</si>
  <si>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</si>
  <si>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</si>
  <si>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</si>
  <si>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</si>
  <si>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</si>
  <si>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</si>
  <si>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</si>
  <si>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</si>
  <si>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</si>
  <si>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</si>
  <si>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</si>
  <si>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</si>
  <si>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</si>
  <si>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</si>
  <si>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</si>
  <si>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Def</t>
    <phoneticPr fontId="1"/>
  </si>
  <si>
    <t>【備考】</t>
    <rPh sb="1" eb="3">
      <t>ビコウ</t>
    </rPh>
    <phoneticPr fontId="1"/>
  </si>
  <si>
    <t>テーブル一覧</t>
    <rPh sb="4" eb="6">
      <t>イチラン</t>
    </rPh>
    <phoneticPr fontId="7"/>
  </si>
  <si>
    <t>DAYNO</t>
  </si>
  <si>
    <t>実効バイトサイズ</t>
    <rPh sb="0" eb="2">
      <t>ジッコウ</t>
    </rPh>
    <phoneticPr fontId="1"/>
  </si>
  <si>
    <t>可変サイズ1</t>
    <rPh sb="0" eb="2">
      <t>カヘン</t>
    </rPh>
    <phoneticPr fontId="1"/>
  </si>
  <si>
    <t>可変サイズ2</t>
    <rPh sb="0" eb="2">
      <t>カヘン</t>
    </rPh>
    <phoneticPr fontId="1"/>
  </si>
  <si>
    <t>合計サイズ</t>
    <rPh sb="0" eb="2">
      <t>ゴウケイ</t>
    </rPh>
    <phoneticPr fontId="1"/>
  </si>
  <si>
    <t>１．利用言語</t>
    <rPh sb="2" eb="4">
      <t>リヨウ</t>
    </rPh>
    <rPh sb="4" eb="6">
      <t>ゲンゴ</t>
    </rPh>
    <phoneticPr fontId="1"/>
  </si>
  <si>
    <t xml:space="preserve"> C#</t>
    <phoneticPr fontId="1"/>
  </si>
  <si>
    <t xml:space="preserve"> Java</t>
    <phoneticPr fontId="1"/>
  </si>
  <si>
    <t>２．出力対象テーブル</t>
    <rPh sb="2" eb="4">
      <t>シュツリョク</t>
    </rPh>
    <rPh sb="4" eb="6">
      <t>タイショウ</t>
    </rPh>
    <phoneticPr fontId="1"/>
  </si>
  <si>
    <t xml:space="preserve"> シート名指定</t>
    <rPh sb="4" eb="5">
      <t>メイ</t>
    </rPh>
    <rPh sb="5" eb="7">
      <t>シテイ</t>
    </rPh>
    <phoneticPr fontId="1"/>
  </si>
  <si>
    <t>↓ 出力したいテーブルのシート名を入力してください。</t>
    <rPh sb="2" eb="4">
      <t>シュツリョク</t>
    </rPh>
    <rPh sb="15" eb="16">
      <t>メイ</t>
    </rPh>
    <rPh sb="17" eb="19">
      <t>ニュウリョク</t>
    </rPh>
    <phoneticPr fontId="1"/>
  </si>
  <si>
    <t xml:space="preserve"> 全テーブル出力</t>
    <rPh sb="1" eb="2">
      <t>ゼン</t>
    </rPh>
    <rPh sb="6" eb="8">
      <t>シュツリョク</t>
    </rPh>
    <phoneticPr fontId="1"/>
  </si>
  <si>
    <t>Get、UpdateInsertプログラム出力</t>
    <rPh sb="21" eb="23">
      <t>シュツリョク</t>
    </rPh>
    <phoneticPr fontId="1"/>
  </si>
  <si>
    <t>下の選択肢に"レ"を入れて、「出力」ボタンをクリックしてください。</t>
    <rPh sb="0" eb="1">
      <t>シタ</t>
    </rPh>
    <rPh sb="2" eb="5">
      <t>センタクシ</t>
    </rPh>
    <rPh sb="10" eb="11">
      <t>イ</t>
    </rPh>
    <rPh sb="15" eb="17">
      <t>シュツリョク</t>
    </rPh>
    <phoneticPr fontId="1"/>
  </si>
  <si>
    <t>同じフォルダにDROP TABLE文を含んだCREATE TABLE文が作成されます。</t>
    <rPh sb="0" eb="1">
      <t>オナ</t>
    </rPh>
    <rPh sb="17" eb="18">
      <t>ブン</t>
    </rPh>
    <rPh sb="19" eb="20">
      <t>フク</t>
    </rPh>
    <rPh sb="34" eb="35">
      <t>ブン</t>
    </rPh>
    <rPh sb="36" eb="38">
      <t>サクセイ</t>
    </rPh>
    <phoneticPr fontId="1"/>
  </si>
  <si>
    <t>1．出力対象テーブル</t>
    <rPh sb="2" eb="4">
      <t>シュツリョク</t>
    </rPh>
    <rPh sb="4" eb="6">
      <t>タイショウ</t>
    </rPh>
    <phoneticPr fontId="1"/>
  </si>
  <si>
    <t>レ</t>
    <phoneticPr fontId="1"/>
  </si>
  <si>
    <t>CreateTable、DropTable出力</t>
    <rPh sb="21" eb="23">
      <t>シュツリョク</t>
    </rPh>
    <phoneticPr fontId="1"/>
  </si>
  <si>
    <t>同じフォルダにテーブルの値を保持するクラスが作成されます。</t>
    <rPh sb="0" eb="1">
      <t>オナ</t>
    </rPh>
    <rPh sb="12" eb="13">
      <t>アタイ</t>
    </rPh>
    <rPh sb="14" eb="16">
      <t>ホジ</t>
    </rPh>
    <rPh sb="22" eb="24">
      <t>サクセイ</t>
    </rPh>
    <phoneticPr fontId="1"/>
  </si>
  <si>
    <t xml:space="preserve"> C#のMVCモデル標準を利用</t>
    <rPh sb="10" eb="12">
      <t>ヒョウジュン</t>
    </rPh>
    <rPh sb="13" eb="15">
      <t>リヨウ</t>
    </rPh>
    <phoneticPr fontId="1"/>
  </si>
  <si>
    <t>№</t>
    <phoneticPr fontId="1"/>
  </si>
  <si>
    <t>論理名</t>
    <rPh sb="0" eb="2">
      <t>ロンリ</t>
    </rPh>
    <rPh sb="2" eb="3">
      <t>メイ</t>
    </rPh>
    <phoneticPr fontId="1"/>
  </si>
  <si>
    <t>物理名</t>
    <rPh sb="0" eb="2">
      <t>ブツリ</t>
    </rPh>
    <rPh sb="2" eb="3">
      <t>メイ</t>
    </rPh>
    <phoneticPr fontId="1"/>
  </si>
  <si>
    <t>設定</t>
    <rPh sb="0" eb="2">
      <t>セッテイ</t>
    </rPh>
    <phoneticPr fontId="7"/>
  </si>
  <si>
    <t>種類</t>
    <rPh sb="0" eb="2">
      <t>シュルイ</t>
    </rPh>
    <phoneticPr fontId="1"/>
  </si>
  <si>
    <t>備考</t>
    <rPh sb="0" eb="2">
      <t>ビコウ</t>
    </rPh>
    <phoneticPr fontId="1"/>
  </si>
  <si>
    <t>1</t>
    <phoneticPr fontId="1"/>
  </si>
  <si>
    <t>2</t>
    <phoneticPr fontId="1"/>
  </si>
  <si>
    <t>3</t>
  </si>
  <si>
    <t>4</t>
  </si>
  <si>
    <t>31</t>
  </si>
  <si>
    <t>32</t>
  </si>
  <si>
    <t>33</t>
  </si>
  <si>
    <t>34</t>
  </si>
  <si>
    <t>35</t>
  </si>
  <si>
    <t>RecordSize</t>
    <phoneticPr fontId="1"/>
  </si>
  <si>
    <t>現状</t>
    <rPh sb="0" eb="2">
      <t>ゲンジョウ</t>
    </rPh>
    <phoneticPr fontId="1"/>
  </si>
  <si>
    <t>TableSize</t>
    <phoneticPr fontId="1"/>
  </si>
  <si>
    <t>RecordCnt</t>
    <phoneticPr fontId="1"/>
  </si>
  <si>
    <t>5年後</t>
    <rPh sb="1" eb="3">
      <t>ネンゴ</t>
    </rPh>
    <phoneticPr fontId="1"/>
  </si>
  <si>
    <t>更新しないテーブル</t>
    <rPh sb="0" eb="2">
      <t>コウシン</t>
    </rPh>
    <phoneticPr fontId="1"/>
  </si>
  <si>
    <t>0-n</t>
    <phoneticPr fontId="1"/>
  </si>
  <si>
    <t>凡例</t>
    <rPh sb="0" eb="2">
      <t>ハンレイ</t>
    </rPh>
    <phoneticPr fontId="1"/>
  </si>
  <si>
    <t>№</t>
    <phoneticPr fontId="1"/>
  </si>
  <si>
    <t>1</t>
    <phoneticPr fontId="1"/>
  </si>
  <si>
    <t>Database名</t>
    <rPh sb="8" eb="9">
      <t>メイ</t>
    </rPh>
    <phoneticPr fontId="1"/>
  </si>
  <si>
    <t>2</t>
    <phoneticPr fontId="1"/>
  </si>
  <si>
    <t>ユーザー</t>
    <phoneticPr fontId="1"/>
  </si>
  <si>
    <t>id</t>
    <phoneticPr fontId="1"/>
  </si>
  <si>
    <t>pw</t>
    <phoneticPr fontId="1"/>
  </si>
  <si>
    <t>3</t>
    <phoneticPr fontId="1"/>
  </si>
  <si>
    <t>4</t>
    <phoneticPr fontId="1"/>
  </si>
  <si>
    <t>項目名</t>
    <rPh sb="0" eb="2">
      <t>コウモク</t>
    </rPh>
    <rPh sb="2" eb="3">
      <t>メイ</t>
    </rPh>
    <phoneticPr fontId="1"/>
  </si>
  <si>
    <t>設定値</t>
    <rPh sb="0" eb="3">
      <t>セッテイチ</t>
    </rPh>
    <phoneticPr fontId="1"/>
  </si>
  <si>
    <t>その他、デフォルトからの変更点を記述</t>
    <rPh sb="2" eb="3">
      <t>タ</t>
    </rPh>
    <rPh sb="12" eb="14">
      <t>ヘンコウ</t>
    </rPh>
    <rPh sb="14" eb="15">
      <t>テン</t>
    </rPh>
    <rPh sb="16" eb="18">
      <t>キジュツ</t>
    </rPh>
    <phoneticPr fontId="1"/>
  </si>
  <si>
    <t>（管理者）</t>
    <rPh sb="1" eb="4">
      <t>カンリシャ</t>
    </rPh>
    <phoneticPr fontId="1"/>
  </si>
  <si>
    <t>（ｘｘｘ）</t>
    <phoneticPr fontId="1"/>
  </si>
  <si>
    <t>１．設定</t>
    <rPh sb="2" eb="4">
      <t>セッテイ</t>
    </rPh>
    <phoneticPr fontId="1"/>
  </si>
  <si>
    <t>２．容量見積</t>
    <rPh sb="2" eb="4">
      <t>ヨウリョウ</t>
    </rPh>
    <rPh sb="4" eb="6">
      <t>ミツモリ</t>
    </rPh>
    <phoneticPr fontId="1"/>
  </si>
  <si>
    <t>システム導入時</t>
    <rPh sb="4" eb="6">
      <t>ドウニュウ</t>
    </rPh>
    <rPh sb="6" eb="7">
      <t>ジ</t>
    </rPh>
    <phoneticPr fontId="1"/>
  </si>
  <si>
    <t>(MB)</t>
    <phoneticPr fontId="1"/>
  </si>
  <si>
    <t>※前提</t>
    <rPh sb="1" eb="3">
      <t>ゼンテイ</t>
    </rPh>
    <phoneticPr fontId="1"/>
  </si>
  <si>
    <t>万件。</t>
    <rPh sb="0" eb="2">
      <t>マンケン</t>
    </rPh>
    <phoneticPr fontId="1"/>
  </si>
  <si>
    <t>万件。5年後を</t>
    <rPh sb="0" eb="2">
      <t>マンケン</t>
    </rPh>
    <rPh sb="4" eb="6">
      <t>ネンゴ</t>
    </rPh>
    <phoneticPr fontId="1"/>
  </si>
  <si>
    <t>インパクトの大きい、以下のテーブルのレコード数を以下の前提条件で見積もった。</t>
    <rPh sb="6" eb="7">
      <t>オオ</t>
    </rPh>
    <rPh sb="10" eb="12">
      <t>イカ</t>
    </rPh>
    <rPh sb="22" eb="23">
      <t>スウ</t>
    </rPh>
    <rPh sb="24" eb="26">
      <t>イカ</t>
    </rPh>
    <rPh sb="27" eb="29">
      <t>ゼンテイ</t>
    </rPh>
    <rPh sb="29" eb="31">
      <t>ジョウケン</t>
    </rPh>
    <rPh sb="32" eb="34">
      <t>ミツ</t>
    </rPh>
    <phoneticPr fontId="1"/>
  </si>
  <si>
    <t>OPERATのシステム導入時を</t>
    <phoneticPr fontId="1"/>
  </si>
  <si>
    <t>HEADERのシステム導入時を</t>
    <phoneticPr fontId="1"/>
  </si>
  <si>
    <t>(KByte)</t>
    <phoneticPr fontId="1"/>
  </si>
  <si>
    <t>1HEADERに検査を除くSHOPが、平均</t>
    <rPh sb="8" eb="10">
      <t>ケンサ</t>
    </rPh>
    <rPh sb="11" eb="12">
      <t>ノゾ</t>
    </rPh>
    <rPh sb="19" eb="21">
      <t>ヘイキン</t>
    </rPh>
    <phoneticPr fontId="1"/>
  </si>
  <si>
    <t>5</t>
    <phoneticPr fontId="1"/>
  </si>
  <si>
    <t>SHOP関連づく。</t>
    <rPh sb="4" eb="6">
      <t>カンレン</t>
    </rPh>
    <phoneticPr fontId="1"/>
  </si>
  <si>
    <t>３．プロジェクト名</t>
    <rPh sb="8" eb="9">
      <t>メイ</t>
    </rPh>
    <phoneticPr fontId="1"/>
  </si>
  <si>
    <t>pms</t>
    <phoneticPr fontId="1"/>
  </si>
  <si>
    <t>1</t>
    <phoneticPr fontId="1"/>
  </si>
  <si>
    <t>IDX</t>
    <phoneticPr fontId="1"/>
  </si>
  <si>
    <t>IDX</t>
    <phoneticPr fontId="1"/>
  </si>
  <si>
    <t>NNull</t>
    <phoneticPr fontId="1"/>
  </si>
  <si>
    <t>PK</t>
    <phoneticPr fontId="1"/>
  </si>
  <si>
    <t>№</t>
    <phoneticPr fontId="1"/>
  </si>
  <si>
    <t>1-n</t>
    <phoneticPr fontId="1"/>
  </si>
  <si>
    <t>0-1</t>
    <phoneticPr fontId="1"/>
  </si>
  <si>
    <t>論理名</t>
    <phoneticPr fontId="1"/>
  </si>
  <si>
    <r>
      <t>wrk_</t>
    </r>
    <r>
      <rPr>
        <b/>
        <i/>
        <u/>
        <sz val="11"/>
        <color rgb="FF0070C0"/>
        <rFont val="ＭＳ Ｐゴシック"/>
        <family val="3"/>
        <charset val="128"/>
      </rPr>
      <t>xxxYyy</t>
    </r>
    <phoneticPr fontId="7"/>
  </si>
  <si>
    <t>特殊工程SHOP</t>
    <phoneticPr fontId="1"/>
  </si>
  <si>
    <t>ｲﾝｼﾃﾞﾝﾄID</t>
    <phoneticPr fontId="1"/>
  </si>
  <si>
    <t>ｹｰｽ管理ID</t>
    <phoneticPr fontId="1"/>
  </si>
  <si>
    <t>1ｽﾀｰﾄの連番</t>
    <rPh sb="6" eb="8">
      <t>レンバン</t>
    </rPh>
    <phoneticPr fontId="1"/>
  </si>
  <si>
    <t>ｹｰｽ管理ID</t>
    <rPh sb="3" eb="5">
      <t>カンリ</t>
    </rPh>
    <phoneticPr fontId="1"/>
  </si>
  <si>
    <t>説明変数a</t>
    <phoneticPr fontId="1"/>
  </si>
  <si>
    <t>説明変数z</t>
    <phoneticPr fontId="1"/>
  </si>
  <si>
    <t>int</t>
    <phoneticPr fontId="1"/>
  </si>
  <si>
    <t>0</t>
    <phoneticPr fontId="1"/>
  </si>
  <si>
    <t>ｹｰｽ管理ID</t>
    <phoneticPr fontId="1"/>
  </si>
  <si>
    <t>いいね！</t>
    <phoneticPr fontId="1"/>
  </si>
  <si>
    <t>いらない！</t>
    <phoneticPr fontId="1"/>
  </si>
  <si>
    <t>datetime2</t>
    <phoneticPr fontId="1"/>
  </si>
  <si>
    <t>説明定数A</t>
    <rPh sb="0" eb="2">
      <t>セツメイ</t>
    </rPh>
    <rPh sb="2" eb="4">
      <t>テイスウ</t>
    </rPh>
    <phoneticPr fontId="1"/>
  </si>
  <si>
    <t>説明定数Z</t>
    <rPh sb="0" eb="2">
      <t>セツメイ</t>
    </rPh>
    <rPh sb="2" eb="4">
      <t>テイスウ</t>
    </rPh>
    <phoneticPr fontId="1"/>
  </si>
  <si>
    <t>再計算ﾌﾗｸﾞ</t>
    <rPh sb="0" eb="3">
      <t>サイケイサン</t>
    </rPh>
    <phoneticPr fontId="1"/>
  </si>
  <si>
    <t>bit</t>
    <phoneticPr fontId="1"/>
  </si>
  <si>
    <t>0：不要、1：必要</t>
    <rPh sb="2" eb="4">
      <t>フヨウ</t>
    </rPh>
    <rPh sb="7" eb="9">
      <t>ヒツヨウ</t>
    </rPh>
    <phoneticPr fontId="1"/>
  </si>
  <si>
    <t>varchar(128)</t>
    <phoneticPr fontId="1"/>
  </si>
  <si>
    <t>varchar(256)</t>
    <phoneticPr fontId="1"/>
  </si>
  <si>
    <t>算出ﾛｼﾞｯｸID</t>
    <rPh sb="0" eb="2">
      <t>サンシュツ</t>
    </rPh>
    <phoneticPr fontId="1"/>
  </si>
  <si>
    <t>ｹｰｽ管理ID変換</t>
    <phoneticPr fontId="1"/>
  </si>
  <si>
    <t>次に高いﾘｽｸのｹｰｽ管理ID</t>
    <rPh sb="0" eb="1">
      <t>ツギ</t>
    </rPh>
    <rPh sb="2" eb="3">
      <t>タカ</t>
    </rPh>
    <rPh sb="11" eb="13">
      <t>カンリ</t>
    </rPh>
    <phoneticPr fontId="1"/>
  </si>
  <si>
    <t>次に低いﾘｽｸのｹｰｽ管理ID</t>
    <rPh sb="0" eb="1">
      <t>ツギ</t>
    </rPh>
    <rPh sb="2" eb="3">
      <t>ヒク</t>
    </rPh>
    <rPh sb="11" eb="13">
      <t>カンリ</t>
    </rPh>
    <phoneticPr fontId="1"/>
  </si>
  <si>
    <t>一番高いﾘｽｸのﾚｺｰﾄﾞは0</t>
    <rPh sb="0" eb="2">
      <t>イチバン</t>
    </rPh>
    <rPh sb="2" eb="3">
      <t>タカ</t>
    </rPh>
    <phoneticPr fontId="1"/>
  </si>
  <si>
    <t>一番低いﾘｽｸのﾚｺｰﾄﾞは0</t>
    <rPh sb="0" eb="2">
      <t>イチバン</t>
    </rPh>
    <rPh sb="2" eb="3">
      <t>ヒク</t>
    </rPh>
    <phoneticPr fontId="1"/>
  </si>
  <si>
    <t>ﾀｲﾄﾙ</t>
    <phoneticPr fontId="1"/>
  </si>
  <si>
    <t>本文</t>
    <rPh sb="0" eb="2">
      <t>ホンブン</t>
    </rPh>
    <phoneticPr fontId="1"/>
  </si>
  <si>
    <t>''</t>
    <phoneticPr fontId="1"/>
  </si>
  <si>
    <t>元情報が更新されたが、経営ﾘｽｸが更新されなかった場合にﾌﾗｸﾞを1にする。原則、再計算不要となった場合はレコード削除。</t>
    <rPh sb="0" eb="1">
      <t>モト</t>
    </rPh>
    <rPh sb="1" eb="3">
      <t>ジョウホウ</t>
    </rPh>
    <rPh sb="4" eb="6">
      <t>コウシン</t>
    </rPh>
    <rPh sb="11" eb="13">
      <t>ケイエイ</t>
    </rPh>
    <rPh sb="17" eb="19">
      <t>コウシン</t>
    </rPh>
    <rPh sb="25" eb="27">
      <t>バアイ</t>
    </rPh>
    <rPh sb="38" eb="40">
      <t>ゲンソク</t>
    </rPh>
    <rPh sb="41" eb="44">
      <t>サイケイサン</t>
    </rPh>
    <rPh sb="44" eb="46">
      <t>フヨウ</t>
    </rPh>
    <rPh sb="50" eb="52">
      <t>バアイ</t>
    </rPh>
    <rPh sb="57" eb="59">
      <t>サクジョ</t>
    </rPh>
    <phoneticPr fontId="1"/>
  </si>
  <si>
    <t>(元情報テーブル)</t>
    <rPh sb="1" eb="2">
      <t>モト</t>
    </rPh>
    <rPh sb="2" eb="4">
      <t>ジョウホウ</t>
    </rPh>
    <phoneticPr fontId="1"/>
  </si>
  <si>
    <t>ｽﾃｰﾀｽ、自動算出ﾘｽｸｽｺｱ、説明定数ﾏｽﾀ、緊急度算出ﾏｽﾀ</t>
    <phoneticPr fontId="1"/>
  </si>
  <si>
    <t>trn_</t>
    <phoneticPr fontId="1"/>
  </si>
  <si>
    <t>mst_</t>
    <phoneticPr fontId="1"/>
  </si>
  <si>
    <t>trn_</t>
    <phoneticPr fontId="1"/>
  </si>
  <si>
    <t>トランザクション</t>
    <phoneticPr fontId="1"/>
  </si>
  <si>
    <t>再計算ﾌﾗｸﾞ</t>
    <phoneticPr fontId="1"/>
  </si>
  <si>
    <t>(更新対象テーブル)</t>
    <rPh sb="1" eb="3">
      <t>コウシン</t>
    </rPh>
    <rPh sb="3" eb="5">
      <t>タイショウ</t>
    </rPh>
    <phoneticPr fontId="1"/>
  </si>
  <si>
    <t>自動算出経営ﾘｽｸ、手動算出経営ﾘｽｸ</t>
    <phoneticPr fontId="1"/>
  </si>
  <si>
    <t>説明定数ﾏｽﾀと合わせて算出</t>
    <rPh sb="8" eb="9">
      <t>ア</t>
    </rPh>
    <rPh sb="12" eb="14">
      <t>サンシュツ</t>
    </rPh>
    <phoneticPr fontId="1"/>
  </si>
  <si>
    <t>データ取得元システムの都合により差分連携できない場合はDELETE、INSERTで作り直す。</t>
    <phoneticPr fontId="1"/>
  </si>
  <si>
    <t>ﾘｽｸﾎﾟｲﾝﾄ</t>
    <phoneticPr fontId="1"/>
  </si>
  <si>
    <t>ﾘｽｸｽｺｱ</t>
    <phoneticPr fontId="1"/>
  </si>
  <si>
    <t>関心度</t>
    <rPh sb="0" eb="3">
      <t>カンシンド</t>
    </rPh>
    <phoneticPr fontId="1"/>
  </si>
  <si>
    <t>経営ﾘｽｸ</t>
    <rPh sb="0" eb="2">
      <t>ケイエイ</t>
    </rPh>
    <phoneticPr fontId="1"/>
  </si>
  <si>
    <t>元情報が更新されたが、経営ﾘｽｸが更新されなかった場合にﾌﾗｸﾞを1にする。原則、再計算不要となった場合はレコード削除。</t>
    <phoneticPr fontId="1"/>
  </si>
  <si>
    <t>〇</t>
    <phoneticPr fontId="1"/>
  </si>
  <si>
    <t>情報発生源ID</t>
    <rPh sb="0" eb="2">
      <t>ジョウホウ</t>
    </rPh>
    <rPh sb="2" eb="5">
      <t>ハッセイゲン</t>
    </rPh>
    <phoneticPr fontId="1"/>
  </si>
  <si>
    <t>ﾃﾞｰﾀ種別ID</t>
    <phoneticPr fontId="1"/>
  </si>
  <si>
    <t>ｴｽｶ先ID</t>
    <rPh sb="3" eb="4">
      <t>サキ</t>
    </rPh>
    <phoneticPr fontId="1"/>
  </si>
  <si>
    <t>情報発生源側のﾏｽﾀ情報を格納</t>
    <rPh sb="0" eb="2">
      <t>ジョウホウ</t>
    </rPh>
    <rPh sb="2" eb="5">
      <t>ハッセイゲン</t>
    </rPh>
    <rPh sb="5" eb="6">
      <t>ガワ</t>
    </rPh>
    <rPh sb="10" eb="12">
      <t>ジョウホウ</t>
    </rPh>
    <rPh sb="13" eb="15">
      <t>カクノウ</t>
    </rPh>
    <phoneticPr fontId="1"/>
  </si>
  <si>
    <t>業務ｽﾍﾟｼｬﾘｽﾄID</t>
    <rPh sb="0" eb="2">
      <t>ギョウム</t>
    </rPh>
    <phoneticPr fontId="1"/>
  </si>
  <si>
    <t>経営層向けTL(TwitterList)で表示するデータ。全部入り、業務ｽﾍﾟｼｬﾘｽﾄ毎、ｴｽｶ先毎にﾃｰﾌﾞﾙを作る。</t>
    <rPh sb="0" eb="2">
      <t>ケイエイ</t>
    </rPh>
    <rPh sb="2" eb="3">
      <t>ソウ</t>
    </rPh>
    <rPh sb="3" eb="4">
      <t>ム</t>
    </rPh>
    <rPh sb="21" eb="23">
      <t>ヒョウジ</t>
    </rPh>
    <rPh sb="29" eb="31">
      <t>ゼンブ</t>
    </rPh>
    <rPh sb="31" eb="32">
      <t>イ</t>
    </rPh>
    <rPh sb="34" eb="36">
      <t>ギョウム</t>
    </rPh>
    <rPh sb="44" eb="45">
      <t>ゴト</t>
    </rPh>
    <rPh sb="49" eb="50">
      <t>サキ</t>
    </rPh>
    <rPh sb="50" eb="51">
      <t>ゴト</t>
    </rPh>
    <rPh sb="58" eb="59">
      <t>ツク</t>
    </rPh>
    <phoneticPr fontId="1"/>
  </si>
  <si>
    <t>1ｽﾀｰﾄの連番(現在未使用)</t>
    <rPh sb="6" eb="8">
      <t>レンバン</t>
    </rPh>
    <rPh sb="9" eb="11">
      <t>ゲンザイ</t>
    </rPh>
    <rPh sb="11" eb="14">
      <t>ミシヨウ</t>
    </rPh>
    <phoneticPr fontId="1"/>
  </si>
  <si>
    <t>ｲﾝｼﾃﾞﾝﾄｺｰﾄﾞ</t>
    <phoneticPr fontId="1"/>
  </si>
  <si>
    <t>char(64)</t>
    <phoneticPr fontId="1"/>
  </si>
  <si>
    <t>経営ﾘｽｸｲﾝﾃﾞｯｸｽ</t>
    <rPh sb="0" eb="2">
      <t>ケイエイ</t>
    </rPh>
    <phoneticPr fontId="1"/>
  </si>
  <si>
    <t>1ｽﾀｰﾄの連番。999は末尾。</t>
    <rPh sb="6" eb="8">
      <t>レンバン</t>
    </rPh>
    <rPh sb="13" eb="15">
      <t>マツビ</t>
    </rPh>
    <phoneticPr fontId="1"/>
  </si>
  <si>
    <t>検索効率化のため、四分位毎のｹｰｽ管理IDを管理。ﾊﾞｯﾁ処理でｸﾘｰﾆﾝｸﾞ。全部入り、業務ｽﾍﾟｼｬﾘｽﾄ毎、ｴｽｶ先毎にﾃｰﾌﾞﾙを作る。</t>
    <rPh sb="0" eb="2">
      <t>ケンサク</t>
    </rPh>
    <rPh sb="2" eb="4">
      <t>コウリツ</t>
    </rPh>
    <rPh sb="4" eb="5">
      <t>カ</t>
    </rPh>
    <rPh sb="9" eb="12">
      <t>シブンイ</t>
    </rPh>
    <rPh sb="12" eb="13">
      <t>ゴト</t>
    </rPh>
    <rPh sb="17" eb="19">
      <t>カンリ</t>
    </rPh>
    <rPh sb="22" eb="24">
      <t>カンリ</t>
    </rPh>
    <rPh sb="29" eb="31">
      <t>ショリ</t>
    </rPh>
    <phoneticPr fontId="1"/>
  </si>
  <si>
    <t>1(先頭)と999(末尾)は常に最新化。</t>
  </si>
  <si>
    <t>ﾃﾞｰﾀ種別IDﾏｽﾀ</t>
    <phoneticPr fontId="1"/>
  </si>
  <si>
    <t>経営ﾘｽｸ</t>
    <phoneticPr fontId="1"/>
  </si>
  <si>
    <t>経営ﾘｽｸｲﾝﾃﾞｯｸｽ</t>
    <phoneticPr fontId="1"/>
  </si>
  <si>
    <t>：KVS</t>
    <phoneticPr fontId="1"/>
  </si>
  <si>
    <t>：RDBMS</t>
    <phoneticPr fontId="1"/>
  </si>
  <si>
    <t>情報発生源側のﾏｽﾀ情報を格納</t>
    <phoneticPr fontId="1"/>
  </si>
  <si>
    <t>※1　解決など管理対象外となった場合ｹｰｽ管理ID変換ﾃｰﾌﾞﾙの該当ﾚｺｰﾄﾞを削除</t>
    <phoneticPr fontId="1"/>
  </si>
  <si>
    <t>※1</t>
    <phoneticPr fontId="1"/>
  </si>
  <si>
    <t>ﾃﾞｰﾀ種別ID変換</t>
    <phoneticPr fontId="1"/>
  </si>
  <si>
    <t>起票日時</t>
    <rPh sb="0" eb="2">
      <t>キヒョウ</t>
    </rPh>
    <rPh sb="2" eb="4">
      <t>ニチジ</t>
    </rPh>
    <phoneticPr fontId="1"/>
  </si>
  <si>
    <t>解決日時</t>
    <rPh sb="0" eb="2">
      <t>カイケツ</t>
    </rPh>
    <rPh sb="2" eb="4">
      <t>ニチジ</t>
    </rPh>
    <phoneticPr fontId="1"/>
  </si>
  <si>
    <t>「ﾘｽｸﾎﾟｲﾝﾄ」ﾃｰﾌﾞﾙの削除と同ﾀｲﾐﾝｸﾞでﾚｺｰﾄﾞ削除可能(step1では未実装)。</t>
    <rPh sb="16" eb="18">
      <t>サクジョ</t>
    </rPh>
    <rPh sb="19" eb="20">
      <t>ドウ</t>
    </rPh>
    <rPh sb="32" eb="34">
      <t>サクジョ</t>
    </rPh>
    <rPh sb="34" eb="36">
      <t>カノウ</t>
    </rPh>
    <rPh sb="44" eb="47">
      <t>ミジッソウ</t>
    </rPh>
    <phoneticPr fontId="1"/>
  </si>
  <si>
    <t>「教師ﾃﾞｰﾀ」ﾃｰﾌﾞﾙ登録と同ﾀｲﾐﾝｸﾞで要ｱｰｶｲﾌﾞ(step1では未実装)。</t>
    <phoneticPr fontId="1"/>
  </si>
  <si>
    <t>1ｽﾀｰﾄの連番(※1)</t>
    <rPh sb="6" eb="8">
      <t>レンバン</t>
    </rPh>
    <phoneticPr fontId="1"/>
  </si>
  <si>
    <t>受け取り日時</t>
    <rPh sb="0" eb="1">
      <t>ウ</t>
    </rPh>
    <rPh sb="2" eb="3">
      <t>ト</t>
    </rPh>
    <phoneticPr fontId="1"/>
  </si>
  <si>
    <t>差戻/返却/ｴｽｶ日時</t>
    <rPh sb="0" eb="2">
      <t>サシモド</t>
    </rPh>
    <rPh sb="3" eb="5">
      <t>ヘンキャク</t>
    </rPh>
    <rPh sb="9" eb="11">
      <t>ニチジ</t>
    </rPh>
    <phoneticPr fontId="1"/>
  </si>
  <si>
    <t>責任を譲渡した日時</t>
    <rPh sb="0" eb="2">
      <t>セキニン</t>
    </rPh>
    <rPh sb="3" eb="5">
      <t>ジョウト</t>
    </rPh>
    <rPh sb="7" eb="9">
      <t>ニチジ</t>
    </rPh>
    <phoneticPr fontId="1"/>
  </si>
  <si>
    <t>業務ｽﾍﾟｼｬﾘｽﾄﾏｽﾀ</t>
    <phoneticPr fontId="1"/>
  </si>
  <si>
    <t>ｲﾝｼﾃﾞﾝﾄ緊急度</t>
    <phoneticPr fontId="1"/>
  </si>
  <si>
    <t>ｴｽｶ緊急度</t>
    <phoneticPr fontId="1"/>
  </si>
  <si>
    <t>※1　解決など管理対象外となった場合ｹｰｽ管理ID変換ﾃｰﾌﾞﾙの該当ﾚｺｰﾄﾞを削除</t>
    <phoneticPr fontId="1"/>
  </si>
  <si>
    <t>教師ﾃﾞｰﾀ</t>
    <phoneticPr fontId="1"/>
  </si>
  <si>
    <t>trn_</t>
    <phoneticPr fontId="1"/>
  </si>
  <si>
    <t>トランザクション</t>
    <phoneticPr fontId="1"/>
  </si>
  <si>
    <t>KVS実装時の逆変換用ﾃｰﾌﾞﾙ。RDBMSでは不要。</t>
    <phoneticPr fontId="1"/>
  </si>
  <si>
    <t>情報発生源側のﾏｽﾀ情報を格納</t>
    <phoneticPr fontId="1"/>
  </si>
  <si>
    <t>経営層向けTL(TwitterList)で表示するデータ。全部入り、業務ｽﾍﾟｼｬﾘｽﾄ毎、ｴｽｶ先毎にﾃｰﾌﾞﾙを作る。</t>
    <phoneticPr fontId="1"/>
  </si>
  <si>
    <t>検索効率化のため、四分位毎のｹｰｽ管理IDを管理。ﾊﾞｯﾁ処理でｸﾘｰﾆﾝｸﾞ。全部入り、業務ｽﾍﾟｼｬﾘｽﾄ毎、ｴｽｶ先毎にﾃｰﾌﾞﾙを作る。</t>
    <phoneticPr fontId="1"/>
  </si>
  <si>
    <t>説明定数ﾏｽﾀ</t>
    <phoneticPr fontId="1"/>
  </si>
  <si>
    <t>mst_</t>
    <phoneticPr fontId="1"/>
  </si>
  <si>
    <t>マスタ</t>
    <phoneticPr fontId="1"/>
  </si>
  <si>
    <t>超過するとﾘｽﾄｱｯﾌﾟ。含めてﾘｽｸｽｺｱ化できれば、「説明定数ﾏｽﾀ」と統合可。</t>
    <rPh sb="0" eb="2">
      <t>チョウカ</t>
    </rPh>
    <rPh sb="13" eb="14">
      <t>フク</t>
    </rPh>
    <rPh sb="22" eb="23">
      <t>カ</t>
    </rPh>
    <rPh sb="29" eb="31">
      <t>セツメイ</t>
    </rPh>
    <rPh sb="31" eb="33">
      <t>テイスウ</t>
    </rPh>
    <rPh sb="39" eb="40">
      <t>カ</t>
    </rPh>
    <rPh sb="40" eb="41">
      <t>。</t>
    </rPh>
    <phoneticPr fontId="1"/>
  </si>
  <si>
    <t>責任を受け取った日時。起票ﾚｺｰﾄﾞは起票日時を設定。</t>
    <rPh sb="0" eb="2">
      <t>セキニン</t>
    </rPh>
    <rPh sb="3" eb="4">
      <t>ウ</t>
    </rPh>
    <rPh sb="5" eb="6">
      <t>ト</t>
    </rPh>
    <rPh sb="8" eb="10">
      <t>ニチジ</t>
    </rPh>
    <rPh sb="11" eb="13">
      <t>キヒョウ</t>
    </rPh>
    <rPh sb="19" eb="21">
      <t>キヒョウ</t>
    </rPh>
    <rPh sb="21" eb="23">
      <t>ニチジ</t>
    </rPh>
    <rPh sb="24" eb="26">
      <t>セッテイ</t>
    </rPh>
    <phoneticPr fontId="1"/>
  </si>
  <si>
    <t>※1 起票ﾚｺｰﾄﾞは0。</t>
    <phoneticPr fontId="1"/>
  </si>
  <si>
    <t>起票/ｴｽｶ/差戻し/調査完了返却する度にﾚｺｰﾄﾞ追加</t>
    <rPh sb="0" eb="2">
      <t>キヒョウ</t>
    </rPh>
    <rPh sb="7" eb="9">
      <t>サシモドシ</t>
    </rPh>
    <rPh sb="11" eb="13">
      <t>チョウサ</t>
    </rPh>
    <rPh sb="13" eb="15">
      <t>カンリョウ</t>
    </rPh>
    <rPh sb="15" eb="17">
      <t>ヘンキャク</t>
    </rPh>
    <rPh sb="19" eb="20">
      <t>タビ</t>
    </rPh>
    <rPh sb="26" eb="28">
      <t>ツイカ</t>
    </rPh>
    <phoneticPr fontId="1"/>
  </si>
  <si>
    <t>「受け取り日時」設定時に、「差戻/返却/ｴｽｶ日時」にNullを設定。並行調査(ｴｽｶ)時のみ、同一「ｹｰｽ管理ID」の複数ﾚｺｰﾄﾞが</t>
    <rPh sb="35" eb="37">
      <t>ヘイコウ</t>
    </rPh>
    <rPh sb="37" eb="39">
      <t>チョウサ</t>
    </rPh>
    <rPh sb="44" eb="45">
      <t>ジ</t>
    </rPh>
    <rPh sb="48" eb="50">
      <t>ドウイツ</t>
    </rPh>
    <rPh sb="54" eb="56">
      <t>カンリ</t>
    </rPh>
    <rPh sb="60" eb="62">
      <t>フクスウ</t>
    </rPh>
    <phoneticPr fontId="1"/>
  </si>
  <si>
    <t>「差戻/返却/ｴｽｶ日時」がNull状態があり得る。「差戻/返却/ｴｽｶ日時」がNullの全てのﾚｺｰﾄﾞについて「ｴｽｶ緊急度算出ﾏｽﾀ」で</t>
    <rPh sb="1" eb="3">
      <t>サシモドシ</t>
    </rPh>
    <rPh sb="4" eb="6">
      <t>ヘンキャク</t>
    </rPh>
    <rPh sb="10" eb="12">
      <t>ニチジ</t>
    </rPh>
    <rPh sb="18" eb="20">
      <t>ジョウタイ</t>
    </rPh>
    <rPh sb="23" eb="24">
      <t>エ</t>
    </rPh>
    <rPh sb="27" eb="29">
      <t>サシモドシ</t>
    </rPh>
    <rPh sb="30" eb="32">
      <t>ヘンキャク</t>
    </rPh>
    <rPh sb="36" eb="38">
      <t>ニチジ</t>
    </rPh>
    <rPh sb="45" eb="46">
      <t>スベ</t>
    </rPh>
    <rPh sb="61" eb="64">
      <t>キンキュウド</t>
    </rPh>
    <rPh sb="64" eb="66">
      <t>サンシュツ</t>
    </rPh>
    <phoneticPr fontId="1"/>
  </si>
  <si>
    <t>緊急度を算出する。※1 起票ﾚｺｰﾄﾞは0。</t>
    <rPh sb="0" eb="3">
      <t>キンキュウド</t>
    </rPh>
    <rPh sb="4" eb="6">
      <t>サンシュツ</t>
    </rPh>
    <phoneticPr fontId="1"/>
  </si>
  <si>
    <t>起票からの期限1(hr)</t>
    <rPh sb="0" eb="2">
      <t>キヒョウ</t>
    </rPh>
    <rPh sb="5" eb="7">
      <t>キゲン</t>
    </rPh>
    <phoneticPr fontId="1"/>
  </si>
  <si>
    <t>起票からの期限2(hr)</t>
    <rPh sb="0" eb="2">
      <t>キヒョウ</t>
    </rPh>
    <rPh sb="5" eb="7">
      <t>キゲン</t>
    </rPh>
    <phoneticPr fontId="1"/>
  </si>
  <si>
    <t>起票からの期限3(hr)</t>
    <rPh sb="0" eb="2">
      <t>キヒョウ</t>
    </rPh>
    <rPh sb="5" eb="7">
      <t>キゲン</t>
    </rPh>
    <phoneticPr fontId="1"/>
  </si>
  <si>
    <t>含めてﾘｽｸｽｺｱ化できれば、「説明定数ﾏｽﾀ」と統合可。</t>
    <rPh sb="0" eb="1">
      <t>フク</t>
    </rPh>
    <rPh sb="9" eb="10">
      <t>カ</t>
    </rPh>
    <rPh sb="16" eb="18">
      <t>セツメイ</t>
    </rPh>
    <rPh sb="18" eb="20">
      <t>テイスウ</t>
    </rPh>
    <rPh sb="26" eb="27">
      <t>カ</t>
    </rPh>
    <rPh sb="27" eb="28">
      <t>。</t>
    </rPh>
    <phoneticPr fontId="1"/>
  </si>
  <si>
    <t>この数値以下の連携頻度でなければならない</t>
    <rPh sb="2" eb="4">
      <t>スウチ</t>
    </rPh>
    <rPh sb="4" eb="6">
      <t>イカ</t>
    </rPh>
    <rPh sb="7" eb="9">
      <t>レンケイ</t>
    </rPh>
    <rPh sb="9" eb="11">
      <t>ヒンド</t>
    </rPh>
    <phoneticPr fontId="1"/>
  </si>
  <si>
    <t>超過時ﾘｽﾄｱｯﾌﾟ(0：しない)</t>
    <rPh sb="0" eb="2">
      <t>チョウカ</t>
    </rPh>
    <rPh sb="2" eb="3">
      <t>トキ</t>
    </rPh>
    <phoneticPr fontId="1"/>
  </si>
  <si>
    <t>超過時画面上注意喚起(0：しない)</t>
    <rPh sb="0" eb="2">
      <t>チョウカ</t>
    </rPh>
    <rPh sb="2" eb="3">
      <t>トキ</t>
    </rPh>
    <rPh sb="3" eb="6">
      <t>ガメンジョウ</t>
    </rPh>
    <rPh sb="6" eb="8">
      <t>チュウイ</t>
    </rPh>
    <rPh sb="8" eb="10">
      <t>カンキ</t>
    </rPh>
    <phoneticPr fontId="1"/>
  </si>
  <si>
    <t>超過時発報(0：しない)</t>
    <rPh sb="0" eb="2">
      <t>チョウカ</t>
    </rPh>
    <rPh sb="2" eb="3">
      <t>トキ</t>
    </rPh>
    <rPh sb="3" eb="5">
      <t>ハッポウ</t>
    </rPh>
    <phoneticPr fontId="1"/>
  </si>
  <si>
    <t>手動設定ﾘｽｸｽｺｱ</t>
    <rPh sb="0" eb="2">
      <t>シュドウ</t>
    </rPh>
    <rPh sb="2" eb="4">
      <t>セッテイ</t>
    </rPh>
    <phoneticPr fontId="1"/>
  </si>
  <si>
    <t>KVS実装時の逆変換用ﾃｰﾌﾞﾙ。RDBMSでは不要。</t>
    <phoneticPr fontId="1"/>
  </si>
  <si>
    <t>起票/ｴｽｶ/差戻し/調査完了返却する度にﾚｺｰﾄﾞ追加</t>
    <phoneticPr fontId="1"/>
  </si>
  <si>
    <t>ｲﾝｼﾃﾞﾝﾄ緊急度ﾏｽﾀ</t>
    <phoneticPr fontId="1"/>
  </si>
  <si>
    <t>含めてﾘｽｸｽｺｱ化できれば、「説明定数ﾏｽﾀ」と統合可。</t>
    <phoneticPr fontId="1"/>
  </si>
  <si>
    <t>varchar(128)</t>
    <phoneticPr fontId="1"/>
  </si>
  <si>
    <t>〇</t>
    <phoneticPr fontId="1"/>
  </si>
  <si>
    <t>''</t>
    <phoneticPr fontId="1"/>
  </si>
  <si>
    <t>char(6)</t>
    <phoneticPr fontId="1"/>
  </si>
  <si>
    <t>char(4)</t>
    <phoneticPr fontId="1"/>
  </si>
  <si>
    <t>ｼｽﾃﾑｺｰﾄﾞ</t>
    <phoneticPr fontId="1"/>
  </si>
  <si>
    <t>ｻﾌﾞｼｽﾃﾑｺｰﾄﾞ</t>
    <phoneticPr fontId="1"/>
  </si>
  <si>
    <t>4社ｼｽﾃﾑ一覧より設定</t>
    <rPh sb="1" eb="2">
      <t>シャ</t>
    </rPh>
    <rPh sb="6" eb="8">
      <t>イチラン</t>
    </rPh>
    <rPh sb="10" eb="12">
      <t>セッテイ</t>
    </rPh>
    <phoneticPr fontId="1"/>
  </si>
  <si>
    <t>0</t>
    <phoneticPr fontId="1"/>
  </si>
  <si>
    <t>ｼｽﾃﾑ名称</t>
    <rPh sb="4" eb="6">
      <t>メイショウ</t>
    </rPh>
    <phoneticPr fontId="1"/>
  </si>
  <si>
    <t>ｻﾌﾞｼｽﾃﾑ名称</t>
    <rPh sb="7" eb="9">
      <t>メイショウ</t>
    </rPh>
    <phoneticPr fontId="1"/>
  </si>
  <si>
    <t>情報発生源名称</t>
    <rPh sb="0" eb="2">
      <t>ジョウホウ</t>
    </rPh>
    <rPh sb="2" eb="5">
      <t>ハッセイゲン</t>
    </rPh>
    <rPh sb="5" eb="7">
      <t>メイショウ</t>
    </rPh>
    <phoneticPr fontId="1"/>
  </si>
  <si>
    <t>参考情報</t>
    <rPh sb="0" eb="2">
      <t>サンコウ</t>
    </rPh>
    <rPh sb="2" eb="4">
      <t>ジョウホウ</t>
    </rPh>
    <phoneticPr fontId="1"/>
  </si>
  <si>
    <t>業務ｽﾍﾟｼｬﾘｽﾄ名称</t>
    <rPh sb="0" eb="2">
      <t>ギョウム</t>
    </rPh>
    <rPh sb="10" eb="12">
      <t>メイショウ</t>
    </rPh>
    <phoneticPr fontId="1"/>
  </si>
  <si>
    <t>ｴｽｶ緊急度ﾏｽﾀ</t>
    <phoneticPr fontId="1"/>
  </si>
  <si>
    <t>超過するとﾘｽﾄｱｯﾌﾟ。含めてﾘｽｸｽｺｱ化できれば、「説明定数ﾏｽﾀ」と統合可。</t>
    <phoneticPr fontId="1"/>
  </si>
  <si>
    <t>ｹｰｽ管理IDﾏｽﾀ,ｹｰｽ管理ID変換,再計算ﾌﾗｸﾞ,ﾘｽｸﾎﾟｲﾝﾄ,経営ﾘｽｸ,経営ﾘｽｸｲﾝﾃﾞｯｸｽ,説明定数ﾏｽﾀ,教師ﾃﾞｰﾀ,ﾃﾞｰﾀ種別ID変換,業務ｽﾍﾟｼｬﾘｽﾄﾏｽﾀ,ｲﾝｼﾃﾞﾝﾄ緊急度,ｴｽｶ緊急度,ｲﾝｼﾃﾞﾝﾄ緊急度ﾏｽﾀ,ｴｽｶ緊急度ﾏｽﾀ,ﾃﾞｰﾀ種別IDﾏｽﾀ</t>
    <phoneticPr fontId="1"/>
  </si>
  <si>
    <t>ｲﾝｼﾃﾞﾝﾄ参照先画面URL</t>
    <rPh sb="7" eb="9">
      <t>サンショウ</t>
    </rPh>
    <rPh sb="9" eb="10">
      <t>サキ</t>
    </rPh>
    <rPh sb="10" eb="12">
      <t>ガメン</t>
    </rPh>
    <phoneticPr fontId="1"/>
  </si>
  <si>
    <t>+ｹｰｽ管理IDで画面呼出し</t>
    <phoneticPr fontId="1"/>
  </si>
  <si>
    <t>受け取りからの期限1(hr)</t>
    <rPh sb="0" eb="1">
      <t>ウ</t>
    </rPh>
    <rPh sb="2" eb="3">
      <t>ト</t>
    </rPh>
    <rPh sb="7" eb="9">
      <t>キゲン</t>
    </rPh>
    <phoneticPr fontId="1"/>
  </si>
  <si>
    <t>受け取りからの期限2(hr)</t>
    <rPh sb="0" eb="1">
      <t>ウ</t>
    </rPh>
    <rPh sb="2" eb="3">
      <t>ト</t>
    </rPh>
    <rPh sb="7" eb="9">
      <t>キゲン</t>
    </rPh>
    <phoneticPr fontId="1"/>
  </si>
  <si>
    <t>受け取りからの期限3(hr)</t>
    <rPh sb="0" eb="1">
      <t>ウ</t>
    </rPh>
    <rPh sb="2" eb="3">
      <t>ト</t>
    </rPh>
    <rPh sb="7" eb="9">
      <t>キゲン</t>
    </rPh>
    <phoneticPr fontId="1"/>
  </si>
  <si>
    <t>ｹｰｽ管理IDﾏｽﾀ,ｹｰｽ管理ID変換,再計算ﾌﾗｸﾞ,経営ﾘｽｸｲﾝﾃﾞｯｸｽ,説明定数ﾏｽﾀ,教師ﾃﾞｰﾀ,ﾃﾞｰﾀ種別ID変換,業務ｽﾍﾟｼｬﾘｽﾄﾏｽﾀ,ｲﾝｼﾃﾞﾝﾄ緊急度,ｴｽｶ緊急度,ｲﾝｼﾃﾞﾝﾄ緊急度ﾏｽﾀ,ﾃﾞｰﾀ種別IDﾏｽﾀ,経営ﾘｽｸﾋﾞｭｰ,ﾘｽｸﾎﾟｲﾝﾄ,経営ﾘｽｸ,ｴｽｶ緊急度ﾏｽﾀ</t>
    <phoneticPr fontId="1"/>
  </si>
  <si>
    <t>ｴｽｶ先ID先名称</t>
    <rPh sb="3" eb="4">
      <t>サキ</t>
    </rPh>
    <rPh sb="6" eb="7">
      <t>サキ</t>
    </rPh>
    <rPh sb="7" eb="9">
      <t>メイショウ</t>
    </rPh>
    <phoneticPr fontId="1"/>
  </si>
  <si>
    <t>varchar(128)</t>
    <phoneticPr fontId="1"/>
  </si>
  <si>
    <t>いいね！－いらない！</t>
    <phoneticPr fontId="1"/>
  </si>
  <si>
    <t>caseManagementId</t>
    <phoneticPr fontId="1"/>
  </si>
  <si>
    <t>title</t>
    <phoneticPr fontId="1"/>
  </si>
  <si>
    <t>bodyText</t>
    <phoneticPr fontId="1"/>
  </si>
  <si>
    <t>explainArgA</t>
    <phoneticPr fontId="1"/>
  </si>
  <si>
    <t>explainArgZ</t>
    <phoneticPr fontId="1"/>
  </si>
  <si>
    <t>riskpoint</t>
    <phoneticPr fontId="1"/>
  </si>
  <si>
    <t>trn_riskpoint</t>
    <phoneticPr fontId="1"/>
  </si>
  <si>
    <t>integer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</si>
</sst>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 "/>
  </numFmts>
  <fonts count="29" x14ac:knownFonts="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2"/>
      <color theme="1"/>
      <name val="ＭＳ Ｐゴシック"/>
      <family val="2"/>
      <scheme val="minor"/>
    </font>
    <font>
      <sz val="12"/>
      <color theme="1"/>
      <name val="ＭＳ Ｐゴシック"/>
      <family val="3"/>
      <charset val="128"/>
      <scheme val="minor"/>
    </font>
    <font>
      <sz val="10"/>
      <name val="ＭＳ ゴシック"/>
      <family val="3"/>
      <charset val="128"/>
    </font>
    <font>
      <sz val="6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ＭＳ ゴシック"/>
      <family val="3"/>
      <charset val="128"/>
    </font>
    <font>
      <sz val="12"/>
      <name val="ＭＳ ゴシック"/>
      <family val="3"/>
      <charset val="128"/>
    </font>
    <font>
      <sz val="14"/>
      <name val="ＭＳ 明朝"/>
      <family val="1"/>
      <charset val="128"/>
    </font>
    <font>
      <sz val="18"/>
      <color theme="1"/>
      <name val="ＭＳ Ｐゴシック"/>
      <family val="3"/>
      <charset val="128"/>
      <scheme val="minor"/>
    </font>
    <font>
      <sz val="18"/>
      <name val="ＭＳ ゴシック"/>
      <family val="3"/>
      <charset val="128"/>
    </font>
    <font>
      <sz val="9"/>
      <name val="ＭＳ Ｐゴシック"/>
      <family val="3"/>
      <charset val="128"/>
    </font>
    <font>
      <sz val="14"/>
      <name val="ＭＳ Ｐゴシック"/>
      <family val="3"/>
      <charset val="128"/>
    </font>
    <font>
      <sz val="16"/>
      <name val="ＭＳ Ｐゴシック"/>
      <family val="3"/>
      <charset val="128"/>
    </font>
    <font>
      <sz val="11"/>
      <color rgb="FFFF0000"/>
      <name val="ＭＳ Ｐゴシック"/>
      <family val="3"/>
      <charset val="128"/>
    </font>
    <font>
      <b/>
      <i/>
      <u/>
      <sz val="11"/>
      <color rgb="FF0070C0"/>
      <name val="ＭＳ Ｐゴシック"/>
      <family val="3"/>
      <charset val="128"/>
    </font>
    <font>
      <sz val="8"/>
      <name val="ＭＳ Ｐゴシック"/>
      <family val="3"/>
      <charset val="128"/>
    </font>
    <font>
      <sz val="11"/>
      <name val="HG行書体"/>
      <family val="4"/>
      <charset val="128"/>
    </font>
    <font>
      <sz val="10"/>
      <name val="ＭＳ Ｐゴシック"/>
      <family val="3"/>
      <charset val="128"/>
    </font>
    <font>
      <sz val="12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sz val="11"/>
      <color theme="1"/>
      <name val="ＭＳ Ｐゴシック"/>
      <family val="2"/>
      <scheme val="minor"/>
    </font>
    <font>
      <b/>
      <u/>
      <sz val="11"/>
      <color theme="1"/>
      <name val="ＭＳ Ｐゴシック"/>
      <family val="3"/>
      <charset val="128"/>
      <scheme val="minor"/>
    </font>
    <font>
      <sz val="9"/>
      <name val="ＭＳ ゴシック"/>
      <family val="3"/>
      <charset val="128"/>
    </font>
    <font>
      <sz val="11"/>
      <color theme="0" tint="-0.249977111117893"/>
      <name val="ＭＳ ゴシック"/>
      <family val="3"/>
      <charset val="128"/>
    </font>
    <font>
      <sz val="11"/>
      <color rgb="FF000000"/>
      <name val="ＭＳ Ｐゴシック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7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/>
      <top style="medium">
        <color indexed="64"/>
      </top>
      <bottom style="thick">
        <color indexed="64"/>
      </bottom>
      <diagonal/>
    </border>
    <border>
      <left/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tted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0" fontId="8" fillId="0" borderId="0"/>
    <xf numFmtId="0" fontId="6" fillId="0" borderId="0" applyBorder="0"/>
    <xf numFmtId="0" fontId="6" fillId="0" borderId="0"/>
    <xf numFmtId="0" fontId="11" fillId="0" borderId="0"/>
    <xf numFmtId="38" fontId="24" fillId="0" borderId="0" applyFont="0" applyFill="0" applyBorder="0" applyAlignment="0" applyProtection="0">
      <alignment vertical="center"/>
    </xf>
  </cellStyleXfs>
  <cellXfs count="385">
    <xf numFmtId="0" fontId="0" fillId="0" borderId="0" xfId="0"/>
    <xf numFmtId="49" fontId="0" fillId="0" borderId="0" xfId="0" applyNumberFormat="1"/>
    <xf numFmtId="49" fontId="0" fillId="0" borderId="0" xfId="0" applyNumberFormat="1" applyBorder="1"/>
    <xf numFmtId="49" fontId="9" fillId="0" borderId="10" xfId="1" applyNumberFormat="1" applyFont="1" applyBorder="1" applyAlignment="1">
      <alignment horizontal="left" vertical="center"/>
    </xf>
    <xf numFmtId="49" fontId="9" fillId="0" borderId="0" xfId="1" applyNumberFormat="1" applyFont="1" applyAlignment="1">
      <alignment vertical="center"/>
    </xf>
    <xf numFmtId="49" fontId="10" fillId="0" borderId="10" xfId="1" applyNumberFormat="1" applyFont="1" applyBorder="1" applyAlignment="1">
      <alignment vertical="center"/>
    </xf>
    <xf numFmtId="49" fontId="9" fillId="0" borderId="1" xfId="1" applyNumberFormat="1" applyFont="1" applyFill="1" applyBorder="1" applyAlignment="1">
      <alignment vertical="center"/>
    </xf>
    <xf numFmtId="49" fontId="9" fillId="0" borderId="2" xfId="1" applyNumberFormat="1" applyFont="1" applyFill="1" applyBorder="1" applyAlignment="1">
      <alignment vertical="center"/>
    </xf>
    <xf numFmtId="49" fontId="9" fillId="0" borderId="0" xfId="1" applyNumberFormat="1" applyFont="1" applyFill="1" applyAlignment="1">
      <alignment vertical="center"/>
    </xf>
    <xf numFmtId="49" fontId="9" fillId="0" borderId="4" xfId="1" applyNumberFormat="1" applyFont="1" applyFill="1" applyBorder="1" applyAlignment="1">
      <alignment vertical="center"/>
    </xf>
    <xf numFmtId="49" fontId="9" fillId="0" borderId="0" xfId="1" applyNumberFormat="1" applyFont="1" applyFill="1" applyBorder="1" applyAlignment="1">
      <alignment vertical="center"/>
    </xf>
    <xf numFmtId="49" fontId="9" fillId="0" borderId="0" xfId="1" applyNumberFormat="1" applyFont="1" applyBorder="1" applyAlignment="1">
      <alignment vertical="center"/>
    </xf>
    <xf numFmtId="0" fontId="9" fillId="0" borderId="0" xfId="1" applyNumberFormat="1" applyFont="1" applyAlignment="1">
      <alignment vertical="center"/>
    </xf>
    <xf numFmtId="49" fontId="9" fillId="0" borderId="5" xfId="1" applyNumberFormat="1" applyFont="1" applyFill="1" applyBorder="1" applyAlignment="1">
      <alignment vertical="center"/>
    </xf>
    <xf numFmtId="49" fontId="9" fillId="0" borderId="6" xfId="1" applyNumberFormat="1" applyFont="1" applyFill="1" applyBorder="1" applyAlignment="1">
      <alignment vertical="center"/>
    </xf>
    <xf numFmtId="49" fontId="9" fillId="0" borderId="7" xfId="1" applyNumberFormat="1" applyFont="1" applyFill="1" applyBorder="1" applyAlignment="1">
      <alignment vertical="center"/>
    </xf>
    <xf numFmtId="49" fontId="9" fillId="0" borderId="8" xfId="1" applyNumberFormat="1" applyFont="1" applyFill="1" applyBorder="1" applyAlignment="1">
      <alignment vertical="center"/>
    </xf>
    <xf numFmtId="0" fontId="9" fillId="0" borderId="4" xfId="1" applyNumberFormat="1" applyFont="1" applyBorder="1" applyAlignment="1">
      <alignment vertical="center"/>
    </xf>
    <xf numFmtId="0" fontId="9" fillId="0" borderId="0" xfId="1" applyNumberFormat="1" applyFont="1" applyBorder="1" applyAlignment="1">
      <alignment vertical="center"/>
    </xf>
    <xf numFmtId="49" fontId="9" fillId="0" borderId="3" xfId="1" applyNumberFormat="1" applyFont="1" applyFill="1" applyBorder="1" applyAlignment="1">
      <alignment vertical="center"/>
    </xf>
    <xf numFmtId="49" fontId="2" fillId="0" borderId="0" xfId="0" applyNumberFormat="1" applyFont="1" applyBorder="1"/>
    <xf numFmtId="0" fontId="9" fillId="0" borderId="9" xfId="1" applyNumberFormat="1" applyFont="1" applyBorder="1" applyAlignment="1">
      <alignment horizontal="left" vertical="center"/>
    </xf>
    <xf numFmtId="0" fontId="14" fillId="0" borderId="0" xfId="1" applyFont="1" applyBorder="1" applyAlignment="1">
      <alignment vertical="center"/>
    </xf>
    <xf numFmtId="0" fontId="14" fillId="0" borderId="21" xfId="1" applyFont="1" applyBorder="1" applyAlignment="1">
      <alignment vertical="center"/>
    </xf>
    <xf numFmtId="0" fontId="14" fillId="0" borderId="22" xfId="1" applyFont="1" applyBorder="1" applyAlignment="1">
      <alignment vertical="center"/>
    </xf>
    <xf numFmtId="0" fontId="14" fillId="0" borderId="23" xfId="1" applyFont="1" applyBorder="1" applyAlignment="1">
      <alignment vertical="center"/>
    </xf>
    <xf numFmtId="0" fontId="14" fillId="0" borderId="24" xfId="1" applyFont="1" applyBorder="1" applyAlignment="1">
      <alignment vertical="center"/>
    </xf>
    <xf numFmtId="0" fontId="14" fillId="0" borderId="25" xfId="1" applyFont="1" applyBorder="1" applyAlignment="1">
      <alignment vertical="center"/>
    </xf>
    <xf numFmtId="0" fontId="14" fillId="0" borderId="26" xfId="1" applyFont="1" applyBorder="1" applyAlignment="1">
      <alignment vertical="center"/>
    </xf>
    <xf numFmtId="0" fontId="14" fillId="0" borderId="27" xfId="1" applyFont="1" applyBorder="1" applyAlignment="1">
      <alignment vertical="center"/>
    </xf>
    <xf numFmtId="0" fontId="14" fillId="0" borderId="28" xfId="1" applyFont="1" applyBorder="1" applyAlignment="1">
      <alignment vertical="center"/>
    </xf>
    <xf numFmtId="0" fontId="14" fillId="0" borderId="29" xfId="1" applyFont="1" applyBorder="1" applyAlignment="1">
      <alignment vertical="center"/>
    </xf>
    <xf numFmtId="0" fontId="14" fillId="0" borderId="30" xfId="1" applyFont="1" applyBorder="1" applyAlignment="1">
      <alignment vertical="center"/>
    </xf>
    <xf numFmtId="0" fontId="14" fillId="0" borderId="31" xfId="1" applyFont="1" applyBorder="1" applyAlignment="1">
      <alignment vertical="center"/>
    </xf>
    <xf numFmtId="0" fontId="14" fillId="0" borderId="32" xfId="1" applyFont="1" applyBorder="1" applyAlignment="1">
      <alignment vertical="center"/>
    </xf>
    <xf numFmtId="0" fontId="8" fillId="0" borderId="30" xfId="1" applyFont="1" applyBorder="1" applyAlignment="1">
      <alignment vertical="center"/>
    </xf>
    <xf numFmtId="0" fontId="14" fillId="0" borderId="30" xfId="1" applyFont="1" applyBorder="1" applyAlignment="1">
      <alignment horizontal="left" vertical="center"/>
    </xf>
    <xf numFmtId="0" fontId="14" fillId="0" borderId="33" xfId="1" applyFont="1" applyBorder="1" applyAlignment="1">
      <alignment vertical="center"/>
    </xf>
    <xf numFmtId="0" fontId="8" fillId="0" borderId="37" xfId="1" applyFont="1" applyBorder="1" applyAlignment="1">
      <alignment vertical="center"/>
    </xf>
    <xf numFmtId="0" fontId="8" fillId="0" borderId="0" xfId="1" applyFont="1" applyBorder="1" applyAlignment="1">
      <alignment vertical="center"/>
    </xf>
    <xf numFmtId="0" fontId="8" fillId="0" borderId="38" xfId="1" applyFont="1" applyBorder="1" applyAlignment="1">
      <alignment vertical="center"/>
    </xf>
    <xf numFmtId="0" fontId="8" fillId="0" borderId="0" xfId="1"/>
    <xf numFmtId="0" fontId="8" fillId="0" borderId="0" xfId="1" quotePrefix="1"/>
    <xf numFmtId="0" fontId="17" fillId="0" borderId="0" xfId="1" applyFont="1"/>
    <xf numFmtId="0" fontId="8" fillId="0" borderId="0" xfId="1" applyNumberFormat="1"/>
    <xf numFmtId="0" fontId="18" fillId="0" borderId="0" xfId="1" applyFont="1"/>
    <xf numFmtId="0" fontId="8" fillId="0" borderId="0" xfId="1" applyNumberFormat="1" applyFont="1" applyBorder="1" applyAlignment="1">
      <alignment vertical="center"/>
    </xf>
    <xf numFmtId="0" fontId="8" fillId="0" borderId="0" xfId="1" quotePrefix="1" applyNumberFormat="1" applyAlignment="1">
      <alignment horizontal="right"/>
    </xf>
    <xf numFmtId="0" fontId="8" fillId="0" borderId="0" xfId="1" quotePrefix="1" applyNumberFormat="1" applyFont="1" applyBorder="1" applyAlignment="1">
      <alignment horizontal="right" vertical="center"/>
    </xf>
    <xf numFmtId="0" fontId="8" fillId="0" borderId="0" xfId="1" applyNumberFormat="1" applyBorder="1"/>
    <xf numFmtId="0" fontId="8" fillId="0" borderId="0" xfId="1" applyBorder="1"/>
    <xf numFmtId="0" fontId="8" fillId="0" borderId="0" xfId="1" quotePrefix="1" applyNumberFormat="1" applyFont="1" applyBorder="1" applyAlignment="1">
      <alignment horizontal="left" vertical="top"/>
    </xf>
    <xf numFmtId="0" fontId="19" fillId="0" borderId="38" xfId="1" applyFont="1" applyBorder="1" applyAlignment="1">
      <alignment vertical="center"/>
    </xf>
    <xf numFmtId="0" fontId="8" fillId="0" borderId="0" xfId="1" applyBorder="1" applyAlignment="1">
      <alignment horizontal="center" vertical="center"/>
    </xf>
    <xf numFmtId="0" fontId="8" fillId="0" borderId="0" xfId="1" applyFont="1" applyBorder="1" applyAlignment="1">
      <alignment horizontal="center" vertical="center"/>
    </xf>
    <xf numFmtId="0" fontId="19" fillId="0" borderId="0" xfId="1" applyFont="1" applyBorder="1" applyAlignment="1">
      <alignment horizontal="left" vertical="center"/>
    </xf>
    <xf numFmtId="0" fontId="8" fillId="0" borderId="0" xfId="1" applyBorder="1" applyAlignment="1">
      <alignment vertical="center"/>
    </xf>
    <xf numFmtId="0" fontId="14" fillId="0" borderId="0" xfId="1" applyFont="1" applyBorder="1" applyAlignment="1">
      <alignment horizontal="left" vertical="center"/>
    </xf>
    <xf numFmtId="0" fontId="8" fillId="0" borderId="0" xfId="1" applyBorder="1" applyAlignment="1">
      <alignment horizontal="left" vertical="center"/>
    </xf>
    <xf numFmtId="0" fontId="8" fillId="0" borderId="0" xfId="1" applyFont="1" applyAlignment="1">
      <alignment horizontal="right"/>
    </xf>
    <xf numFmtId="0" fontId="8" fillId="0" borderId="37" xfId="1" applyFont="1" applyBorder="1" applyAlignment="1">
      <alignment horizontal="center" vertical="center"/>
    </xf>
    <xf numFmtId="0" fontId="8" fillId="0" borderId="38" xfId="1" applyBorder="1" applyAlignment="1">
      <alignment horizontal="left" vertical="center"/>
    </xf>
    <xf numFmtId="0" fontId="19" fillId="0" borderId="0" xfId="1" applyFont="1" applyBorder="1" applyAlignment="1">
      <alignment vertical="center"/>
    </xf>
    <xf numFmtId="0" fontId="8" fillId="0" borderId="0" xfId="1" applyFont="1" applyBorder="1" applyAlignment="1">
      <alignment horizontal="centerContinuous" vertical="center"/>
    </xf>
    <xf numFmtId="0" fontId="8" fillId="0" borderId="38" xfId="1" applyFont="1" applyBorder="1" applyAlignment="1">
      <alignment horizontal="centerContinuous" vertical="center"/>
    </xf>
    <xf numFmtId="0" fontId="8" fillId="0" borderId="7" xfId="1" applyFont="1" applyBorder="1" applyAlignment="1">
      <alignment horizontal="center" vertical="center"/>
    </xf>
    <xf numFmtId="0" fontId="8" fillId="0" borderId="7" xfId="1" applyFont="1" applyBorder="1" applyAlignment="1">
      <alignment horizontal="left" vertical="center"/>
    </xf>
    <xf numFmtId="0" fontId="14" fillId="0" borderId="7" xfId="1" applyFont="1" applyBorder="1" applyAlignment="1">
      <alignment horizontal="left" vertical="center"/>
    </xf>
    <xf numFmtId="0" fontId="8" fillId="0" borderId="41" xfId="1" applyFont="1" applyBorder="1" applyAlignment="1">
      <alignment horizontal="center" vertical="center"/>
    </xf>
    <xf numFmtId="0" fontId="8" fillId="0" borderId="0" xfId="1" applyAlignment="1">
      <alignment horizontal="right"/>
    </xf>
    <xf numFmtId="0" fontId="8" fillId="0" borderId="24" xfId="1" applyFont="1" applyBorder="1" applyAlignment="1">
      <alignment horizontal="left" vertical="center"/>
    </xf>
    <xf numFmtId="0" fontId="8" fillId="0" borderId="25" xfId="1" applyFont="1" applyBorder="1" applyAlignment="1">
      <alignment horizontal="left" vertical="center"/>
    </xf>
    <xf numFmtId="0" fontId="8" fillId="0" borderId="26" xfId="1" applyFont="1" applyBorder="1" applyAlignment="1">
      <alignment horizontal="left" vertical="center"/>
    </xf>
    <xf numFmtId="0" fontId="8" fillId="0" borderId="25" xfId="1" applyFont="1" applyBorder="1" applyAlignment="1">
      <alignment horizontal="center" vertical="center"/>
    </xf>
    <xf numFmtId="0" fontId="8" fillId="0" borderId="26" xfId="1" applyFont="1" applyBorder="1" applyAlignment="1">
      <alignment horizontal="center" vertical="center"/>
    </xf>
    <xf numFmtId="0" fontId="8" fillId="0" borderId="0" xfId="1" applyAlignment="1">
      <alignment horizontal="right" vertical="center"/>
    </xf>
    <xf numFmtId="0" fontId="21" fillId="0" borderId="55" xfId="1" applyFont="1" applyBorder="1" applyAlignment="1">
      <alignment horizontal="center" vertical="center"/>
    </xf>
    <xf numFmtId="0" fontId="21" fillId="0" borderId="60" xfId="1" applyFont="1" applyBorder="1" applyAlignment="1">
      <alignment horizontal="center" vertical="center"/>
    </xf>
    <xf numFmtId="31" fontId="14" fillId="0" borderId="0" xfId="1" applyNumberFormat="1" applyFont="1" applyBorder="1" applyAlignment="1">
      <alignment vertical="center"/>
    </xf>
    <xf numFmtId="14" fontId="9" fillId="0" borderId="1" xfId="1" applyNumberFormat="1" applyFont="1" applyBorder="1" applyAlignment="1">
      <alignment vertical="center"/>
    </xf>
    <xf numFmtId="14" fontId="9" fillId="0" borderId="3" xfId="1" applyNumberFormat="1" applyFont="1" applyBorder="1" applyAlignment="1">
      <alignment vertical="center"/>
    </xf>
    <xf numFmtId="14" fontId="9" fillId="0" borderId="6" xfId="1" applyNumberFormat="1" applyFont="1" applyBorder="1" applyAlignment="1">
      <alignment vertical="center"/>
    </xf>
    <xf numFmtId="14" fontId="9" fillId="0" borderId="8" xfId="1" applyNumberFormat="1" applyFont="1" applyBorder="1" applyAlignment="1">
      <alignment vertical="center"/>
    </xf>
    <xf numFmtId="0" fontId="9" fillId="2" borderId="9" xfId="1" applyNumberFormat="1" applyFont="1" applyFill="1" applyBorder="1" applyAlignment="1">
      <alignment vertical="center"/>
    </xf>
    <xf numFmtId="0" fontId="9" fillId="2" borderId="10" xfId="1" applyNumberFormat="1" applyFont="1" applyFill="1" applyBorder="1" applyAlignment="1">
      <alignment vertical="center"/>
    </xf>
    <xf numFmtId="0" fontId="9" fillId="2" borderId="11" xfId="1" applyNumberFormat="1" applyFont="1" applyFill="1" applyBorder="1" applyAlignment="1">
      <alignment vertical="center"/>
    </xf>
    <xf numFmtId="0" fontId="9" fillId="0" borderId="10" xfId="1" applyNumberFormat="1" applyFont="1" applyBorder="1" applyAlignment="1">
      <alignment vertical="center"/>
    </xf>
    <xf numFmtId="49" fontId="9" fillId="2" borderId="39" xfId="1" applyNumberFormat="1" applyFont="1" applyFill="1" applyBorder="1" applyAlignment="1">
      <alignment horizontal="center" vertical="center"/>
    </xf>
    <xf numFmtId="49" fontId="9" fillId="0" borderId="0" xfId="1" applyNumberFormat="1" applyFont="1" applyFill="1" applyBorder="1" applyAlignment="1">
      <alignment horizontal="left" vertical="top"/>
    </xf>
    <xf numFmtId="49" fontId="9" fillId="4" borderId="9" xfId="1" applyNumberFormat="1" applyFont="1" applyFill="1" applyBorder="1" applyAlignment="1">
      <alignment vertical="center"/>
    </xf>
    <xf numFmtId="49" fontId="9" fillId="4" borderId="10" xfId="1" applyNumberFormat="1" applyFont="1" applyFill="1" applyBorder="1" applyAlignment="1">
      <alignment horizontal="left" vertical="top"/>
    </xf>
    <xf numFmtId="49" fontId="9" fillId="4" borderId="11" xfId="1" applyNumberFormat="1" applyFont="1" applyFill="1" applyBorder="1" applyAlignment="1">
      <alignment vertical="center"/>
    </xf>
    <xf numFmtId="0" fontId="9" fillId="0" borderId="0" xfId="1" applyNumberFormat="1" applyFont="1" applyFill="1" applyBorder="1" applyAlignment="1">
      <alignment vertical="center"/>
    </xf>
    <xf numFmtId="0" fontId="9" fillId="0" borderId="7" xfId="1" applyNumberFormat="1" applyFont="1" applyFill="1" applyBorder="1" applyAlignment="1">
      <alignment vertical="center"/>
    </xf>
    <xf numFmtId="0" fontId="9" fillId="0" borderId="10" xfId="1" applyNumberFormat="1" applyFont="1" applyBorder="1" applyAlignment="1">
      <alignment horizontal="left" vertical="center"/>
    </xf>
    <xf numFmtId="0" fontId="10" fillId="0" borderId="10" xfId="1" applyNumberFormat="1" applyFont="1" applyBorder="1" applyAlignment="1">
      <alignment vertical="center"/>
    </xf>
    <xf numFmtId="0" fontId="9" fillId="0" borderId="0" xfId="1" applyNumberFormat="1" applyFont="1" applyFill="1" applyAlignment="1">
      <alignment vertical="center"/>
    </xf>
    <xf numFmtId="0" fontId="9" fillId="2" borderId="39" xfId="1" applyNumberFormat="1" applyFont="1" applyFill="1" applyBorder="1" applyAlignment="1">
      <alignment horizontal="center" vertical="center" shrinkToFit="1"/>
    </xf>
    <xf numFmtId="0" fontId="9" fillId="0" borderId="5" xfId="1" applyNumberFormat="1" applyFont="1" applyFill="1" applyBorder="1" applyAlignment="1">
      <alignment vertical="center"/>
    </xf>
    <xf numFmtId="0" fontId="9" fillId="0" borderId="39" xfId="1" applyNumberFormat="1" applyFont="1" applyFill="1" applyBorder="1" applyAlignment="1">
      <alignment horizontal="right" vertical="center"/>
    </xf>
    <xf numFmtId="0" fontId="9" fillId="0" borderId="39" xfId="1" applyNumberFormat="1" applyFont="1" applyFill="1" applyBorder="1" applyAlignment="1">
      <alignment horizontal="center" vertical="center" shrinkToFit="1"/>
    </xf>
    <xf numFmtId="0" fontId="9" fillId="0" borderId="4" xfId="1" applyNumberFormat="1" applyFont="1" applyFill="1" applyBorder="1" applyAlignment="1">
      <alignment vertical="center"/>
    </xf>
    <xf numFmtId="0" fontId="9" fillId="0" borderId="6" xfId="1" applyNumberFormat="1" applyFont="1" applyFill="1" applyBorder="1" applyAlignment="1">
      <alignment vertical="center"/>
    </xf>
    <xf numFmtId="0" fontId="9" fillId="0" borderId="8" xfId="1" applyNumberFormat="1" applyFont="1" applyFill="1" applyBorder="1" applyAlignment="1">
      <alignment vertical="center"/>
    </xf>
    <xf numFmtId="0" fontId="9" fillId="0" borderId="39" xfId="1" quotePrefix="1" applyNumberFormat="1" applyFont="1" applyFill="1" applyBorder="1" applyAlignment="1">
      <alignment horizontal="center" vertical="center" shrinkToFit="1"/>
    </xf>
    <xf numFmtId="38" fontId="9" fillId="0" borderId="0" xfId="5" applyFont="1" applyAlignment="1">
      <alignment horizontal="right" vertical="center"/>
    </xf>
    <xf numFmtId="38" fontId="9" fillId="0" borderId="0" xfId="5" applyFont="1" applyFill="1" applyBorder="1" applyAlignment="1">
      <alignment vertical="center"/>
    </xf>
    <xf numFmtId="0" fontId="9" fillId="0" borderId="0" xfId="1" applyNumberFormat="1" applyFont="1" applyFill="1" applyBorder="1" applyAlignment="1">
      <alignment horizontal="center" vertical="center"/>
    </xf>
    <xf numFmtId="0" fontId="0" fillId="0" borderId="0" xfId="0" applyBorder="1"/>
    <xf numFmtId="0" fontId="2" fillId="0" borderId="0" xfId="0" applyFont="1"/>
    <xf numFmtId="0" fontId="25" fillId="0" borderId="0" xfId="0" applyFont="1"/>
    <xf numFmtId="0" fontId="2" fillId="5" borderId="63" xfId="0" applyFont="1" applyFill="1" applyBorder="1" applyAlignment="1">
      <alignment horizontal="center" vertical="center"/>
    </xf>
    <xf numFmtId="49" fontId="9" fillId="0" borderId="1" xfId="1" applyNumberFormat="1" applyFont="1" applyFill="1" applyBorder="1" applyAlignment="1">
      <alignment vertical="center"/>
    </xf>
    <xf numFmtId="49" fontId="9" fillId="0" borderId="2" xfId="1" applyNumberFormat="1" applyFont="1" applyFill="1" applyBorder="1" applyAlignment="1">
      <alignment vertical="center"/>
    </xf>
    <xf numFmtId="49" fontId="9" fillId="0" borderId="3" xfId="1" applyNumberFormat="1" applyFont="1" applyFill="1" applyBorder="1" applyAlignment="1">
      <alignment vertical="center"/>
    </xf>
    <xf numFmtId="49" fontId="9" fillId="0" borderId="39" xfId="1" applyNumberFormat="1" applyFont="1" applyFill="1" applyBorder="1" applyAlignment="1">
      <alignment horizontal="center" vertical="center"/>
    </xf>
    <xf numFmtId="38" fontId="9" fillId="0" borderId="0" xfId="5" applyFont="1" applyAlignment="1">
      <alignment vertical="center"/>
    </xf>
    <xf numFmtId="0" fontId="26" fillId="0" borderId="0" xfId="1" applyNumberFormat="1" applyFont="1" applyAlignment="1">
      <alignment vertical="center"/>
    </xf>
    <xf numFmtId="0" fontId="26" fillId="0" borderId="0" xfId="1" applyNumberFormat="1" applyFont="1" applyBorder="1" applyAlignment="1">
      <alignment vertical="center"/>
    </xf>
    <xf numFmtId="0" fontId="26" fillId="0" borderId="0" xfId="1" applyNumberFormat="1" applyFont="1" applyAlignment="1">
      <alignment horizontal="right" vertical="center"/>
    </xf>
    <xf numFmtId="49" fontId="27" fillId="0" borderId="6" xfId="1" applyNumberFormat="1" applyFont="1" applyBorder="1" applyAlignment="1">
      <alignment vertical="center"/>
    </xf>
    <xf numFmtId="49" fontId="9" fillId="4" borderId="10" xfId="1" applyNumberFormat="1" applyFont="1" applyFill="1" applyBorder="1" applyAlignment="1">
      <alignment vertical="center"/>
    </xf>
    <xf numFmtId="49" fontId="9" fillId="0" borderId="1" xfId="1" applyNumberFormat="1" applyFont="1" applyFill="1" applyBorder="1" applyAlignment="1">
      <alignment horizontal="left" vertical="top"/>
    </xf>
    <xf numFmtId="49" fontId="9" fillId="0" borderId="2" xfId="1" applyNumberFormat="1" applyFont="1" applyFill="1" applyBorder="1" applyAlignment="1">
      <alignment horizontal="left" vertical="top"/>
    </xf>
    <xf numFmtId="49" fontId="9" fillId="0" borderId="3" xfId="1" applyNumberFormat="1" applyFont="1" applyFill="1" applyBorder="1" applyAlignment="1">
      <alignment horizontal="left" vertical="top"/>
    </xf>
    <xf numFmtId="49" fontId="9" fillId="0" borderId="4" xfId="1" applyNumberFormat="1" applyFont="1" applyFill="1" applyBorder="1" applyAlignment="1">
      <alignment horizontal="left" vertical="top"/>
    </xf>
    <xf numFmtId="49" fontId="9" fillId="0" borderId="5" xfId="1" applyNumberFormat="1" applyFont="1" applyFill="1" applyBorder="1" applyAlignment="1">
      <alignment horizontal="left" vertical="top"/>
    </xf>
    <xf numFmtId="49" fontId="9" fillId="0" borderId="39" xfId="1" applyNumberFormat="1" applyFont="1" applyFill="1" applyBorder="1" applyAlignment="1">
      <alignment horizontal="left" vertical="top"/>
    </xf>
    <xf numFmtId="49" fontId="9" fillId="0" borderId="72" xfId="1" applyNumberFormat="1" applyFont="1" applyFill="1" applyBorder="1" applyAlignment="1">
      <alignment horizontal="left" vertical="top"/>
    </xf>
    <xf numFmtId="49" fontId="9" fillId="0" borderId="66" xfId="1" applyNumberFormat="1" applyFont="1" applyFill="1" applyBorder="1" applyAlignment="1">
      <alignment horizontal="left" vertical="top"/>
    </xf>
    <xf numFmtId="49" fontId="9" fillId="0" borderId="9" xfId="1" applyNumberFormat="1" applyFont="1" applyFill="1" applyBorder="1" applyAlignment="1">
      <alignment horizontal="left" vertical="top"/>
    </xf>
    <xf numFmtId="49" fontId="9" fillId="0" borderId="10" xfId="1" applyNumberFormat="1" applyFont="1" applyFill="1" applyBorder="1" applyAlignment="1">
      <alignment horizontal="left" vertical="top"/>
    </xf>
    <xf numFmtId="49" fontId="9" fillId="0" borderId="11" xfId="1" applyNumberFormat="1" applyFont="1" applyFill="1" applyBorder="1" applyAlignment="1">
      <alignment horizontal="left" vertical="top"/>
    </xf>
    <xf numFmtId="49" fontId="9" fillId="0" borderId="6" xfId="1" applyNumberFormat="1" applyFont="1" applyFill="1" applyBorder="1" applyAlignment="1">
      <alignment horizontal="left" vertical="top"/>
    </xf>
    <xf numFmtId="49" fontId="9" fillId="0" borderId="7" xfId="1" applyNumberFormat="1" applyFont="1" applyFill="1" applyBorder="1" applyAlignment="1">
      <alignment horizontal="left" vertical="top"/>
    </xf>
    <xf numFmtId="49" fontId="9" fillId="0" borderId="7" xfId="1" applyNumberFormat="1" applyFont="1" applyBorder="1" applyAlignment="1">
      <alignment vertical="center"/>
    </xf>
    <xf numFmtId="49" fontId="9" fillId="0" borderId="10" xfId="1" applyNumberFormat="1" applyFont="1" applyBorder="1" applyAlignment="1">
      <alignment vertical="center"/>
    </xf>
    <xf numFmtId="49" fontId="9" fillId="2" borderId="72" xfId="1" applyNumberFormat="1" applyFont="1" applyFill="1" applyBorder="1" applyAlignment="1">
      <alignment horizontal="center" vertical="top"/>
    </xf>
    <xf numFmtId="49" fontId="9" fillId="0" borderId="2" xfId="1" applyNumberFormat="1" applyFont="1" applyBorder="1" applyAlignment="1">
      <alignment vertical="center"/>
    </xf>
    <xf numFmtId="49" fontId="9" fillId="0" borderId="3" xfId="1" applyNumberFormat="1" applyFont="1" applyBorder="1" applyAlignment="1">
      <alignment vertical="center"/>
    </xf>
    <xf numFmtId="49" fontId="9" fillId="0" borderId="5" xfId="1" applyNumberFormat="1" applyFont="1" applyBorder="1" applyAlignment="1">
      <alignment vertical="center"/>
    </xf>
    <xf numFmtId="49" fontId="9" fillId="0" borderId="8" xfId="1" applyNumberFormat="1" applyFont="1" applyBorder="1" applyAlignment="1">
      <alignment vertical="center"/>
    </xf>
    <xf numFmtId="0" fontId="9" fillId="4" borderId="6" xfId="1" applyNumberFormat="1" applyFont="1" applyFill="1" applyBorder="1" applyAlignment="1">
      <alignment horizontal="left" vertical="top"/>
    </xf>
    <xf numFmtId="49" fontId="9" fillId="4" borderId="7" xfId="1" applyNumberFormat="1" applyFont="1" applyFill="1" applyBorder="1" applyAlignment="1">
      <alignment horizontal="left" vertical="top"/>
    </xf>
    <xf numFmtId="49" fontId="9" fillId="4" borderId="8" xfId="1" applyNumberFormat="1" applyFont="1" applyFill="1" applyBorder="1" applyAlignment="1">
      <alignment horizontal="left" vertical="top"/>
    </xf>
    <xf numFmtId="0" fontId="9" fillId="4" borderId="9" xfId="1" applyNumberFormat="1" applyFont="1" applyFill="1" applyBorder="1" applyAlignment="1">
      <alignment horizontal="left" vertical="top"/>
    </xf>
    <xf numFmtId="49" fontId="9" fillId="4" borderId="11" xfId="1" applyNumberFormat="1" applyFont="1" applyFill="1" applyBorder="1" applyAlignment="1">
      <alignment horizontal="left" vertical="top"/>
    </xf>
    <xf numFmtId="49" fontId="9" fillId="0" borderId="0" xfId="1" applyNumberFormat="1" applyFont="1" applyFill="1" applyBorder="1" applyAlignment="1">
      <alignment horizontal="right" vertical="top"/>
    </xf>
    <xf numFmtId="38" fontId="9" fillId="0" borderId="0" xfId="1" applyNumberFormat="1" applyFont="1" applyFill="1" applyBorder="1" applyAlignment="1">
      <alignment horizontal="right" vertical="top"/>
    </xf>
    <xf numFmtId="176" fontId="9" fillId="0" borderId="0" xfId="1" applyNumberFormat="1" applyFont="1" applyAlignment="1">
      <alignment vertical="center"/>
    </xf>
    <xf numFmtId="49" fontId="9" fillId="0" borderId="39" xfId="1" quotePrefix="1" applyNumberFormat="1" applyFont="1" applyFill="1" applyBorder="1" applyAlignment="1">
      <alignment horizontal="center" vertical="center" shrinkToFit="1"/>
    </xf>
    <xf numFmtId="0" fontId="9" fillId="2" borderId="39" xfId="1" applyNumberFormat="1" applyFont="1" applyFill="1" applyBorder="1" applyAlignment="1">
      <alignment horizontal="center" vertical="center"/>
    </xf>
    <xf numFmtId="0" fontId="9" fillId="0" borderId="1" xfId="1" applyNumberFormat="1" applyFont="1" applyFill="1" applyBorder="1" applyAlignment="1">
      <alignment vertical="center"/>
    </xf>
    <xf numFmtId="0" fontId="9" fillId="0" borderId="2" xfId="1" applyNumberFormat="1" applyFont="1" applyFill="1" applyBorder="1" applyAlignment="1">
      <alignment vertical="center"/>
    </xf>
    <xf numFmtId="0" fontId="9" fillId="0" borderId="3" xfId="1" applyNumberFormat="1" applyFont="1" applyFill="1" applyBorder="1" applyAlignment="1">
      <alignment vertical="center"/>
    </xf>
    <xf numFmtId="0" fontId="9" fillId="2" borderId="39" xfId="1" applyNumberFormat="1" applyFont="1" applyFill="1" applyBorder="1" applyAlignment="1">
      <alignment horizontal="center" vertical="center"/>
    </xf>
    <xf numFmtId="0" fontId="9" fillId="0" borderId="1" xfId="1" applyNumberFormat="1" applyFont="1" applyFill="1" applyBorder="1" applyAlignment="1">
      <alignment vertical="center"/>
    </xf>
    <xf numFmtId="0" fontId="9" fillId="0" borderId="2" xfId="1" applyNumberFormat="1" applyFont="1" applyFill="1" applyBorder="1" applyAlignment="1">
      <alignment vertical="center"/>
    </xf>
    <xf numFmtId="0" fontId="9" fillId="0" borderId="3" xfId="1" applyNumberFormat="1" applyFont="1" applyFill="1" applyBorder="1" applyAlignment="1">
      <alignment vertical="center"/>
    </xf>
    <xf numFmtId="49" fontId="9" fillId="0" borderId="1" xfId="1" applyNumberFormat="1" applyFont="1" applyFill="1" applyBorder="1" applyAlignment="1">
      <alignment vertical="center"/>
    </xf>
    <xf numFmtId="49" fontId="9" fillId="0" borderId="2" xfId="1" applyNumberFormat="1" applyFont="1" applyFill="1" applyBorder="1" applyAlignment="1">
      <alignment vertical="center"/>
    </xf>
    <xf numFmtId="49" fontId="9" fillId="0" borderId="3" xfId="1" applyNumberFormat="1" applyFont="1" applyFill="1" applyBorder="1" applyAlignment="1">
      <alignment vertical="center"/>
    </xf>
    <xf numFmtId="49" fontId="9" fillId="0" borderId="39" xfId="1" applyNumberFormat="1" applyFont="1" applyFill="1" applyBorder="1" applyAlignment="1">
      <alignment horizontal="center" vertical="center" shrinkToFit="1"/>
    </xf>
    <xf numFmtId="0" fontId="9" fillId="2" borderId="39" xfId="1" applyNumberFormat="1" applyFont="1" applyFill="1" applyBorder="1" applyAlignment="1">
      <alignment horizontal="center" vertical="center"/>
    </xf>
    <xf numFmtId="0" fontId="9" fillId="0" borderId="1" xfId="1" applyNumberFormat="1" applyFont="1" applyFill="1" applyBorder="1" applyAlignment="1">
      <alignment vertical="center"/>
    </xf>
    <xf numFmtId="0" fontId="9" fillId="0" borderId="2" xfId="1" applyNumberFormat="1" applyFont="1" applyFill="1" applyBorder="1" applyAlignment="1">
      <alignment vertical="center"/>
    </xf>
    <xf numFmtId="0" fontId="9" fillId="0" borderId="3" xfId="1" applyNumberFormat="1" applyFont="1" applyFill="1" applyBorder="1" applyAlignment="1">
      <alignment vertical="center"/>
    </xf>
    <xf numFmtId="0" fontId="9" fillId="0" borderId="9" xfId="1" applyNumberFormat="1" applyFont="1" applyFill="1" applyBorder="1" applyAlignment="1">
      <alignment vertical="center" shrinkToFit="1"/>
    </xf>
    <xf numFmtId="0" fontId="9" fillId="0" borderId="10" xfId="1" applyNumberFormat="1" applyFont="1" applyFill="1" applyBorder="1" applyAlignment="1">
      <alignment vertical="center" shrinkToFit="1"/>
    </xf>
    <xf numFmtId="0" fontId="9" fillId="0" borderId="11" xfId="1" applyNumberFormat="1" applyFont="1" applyFill="1" applyBorder="1" applyAlignment="1">
      <alignment vertical="center" shrinkToFit="1"/>
    </xf>
    <xf numFmtId="0" fontId="9" fillId="2" borderId="39" xfId="1" applyNumberFormat="1" applyFont="1" applyFill="1" applyBorder="1" applyAlignment="1">
      <alignment horizontal="center" vertical="center"/>
    </xf>
    <xf numFmtId="49" fontId="9" fillId="0" borderId="39" xfId="1" applyNumberFormat="1" applyFont="1" applyFill="1" applyBorder="1" applyAlignment="1">
      <alignment horizontal="center" vertical="center" shrinkToFit="1"/>
    </xf>
    <xf numFmtId="0" fontId="9" fillId="0" borderId="9" xfId="1" applyNumberFormat="1" applyFont="1" applyFill="1" applyBorder="1" applyAlignment="1">
      <alignment vertical="center" shrinkToFit="1"/>
    </xf>
    <xf numFmtId="0" fontId="9" fillId="0" borderId="10" xfId="1" applyNumberFormat="1" applyFont="1" applyFill="1" applyBorder="1" applyAlignment="1">
      <alignment vertical="center" shrinkToFit="1"/>
    </xf>
    <xf numFmtId="0" fontId="9" fillId="0" borderId="11" xfId="1" applyNumberFormat="1" applyFont="1" applyFill="1" applyBorder="1" applyAlignment="1">
      <alignment vertical="center" shrinkToFit="1"/>
    </xf>
    <xf numFmtId="0" fontId="9" fillId="0" borderId="1" xfId="1" applyNumberFormat="1" applyFont="1" applyFill="1" applyBorder="1" applyAlignment="1">
      <alignment vertical="center"/>
    </xf>
    <xf numFmtId="0" fontId="9" fillId="0" borderId="2" xfId="1" applyNumberFormat="1" applyFont="1" applyFill="1" applyBorder="1" applyAlignment="1">
      <alignment vertical="center"/>
    </xf>
    <xf numFmtId="0" fontId="9" fillId="0" borderId="3" xfId="1" applyNumberFormat="1" applyFont="1" applyFill="1" applyBorder="1" applyAlignment="1">
      <alignment vertical="center"/>
    </xf>
    <xf numFmtId="49" fontId="9" fillId="5" borderId="39" xfId="1" applyNumberFormat="1" applyFont="1" applyFill="1" applyBorder="1" applyAlignment="1">
      <alignment horizontal="left" vertical="top"/>
    </xf>
    <xf numFmtId="49" fontId="9" fillId="6" borderId="39" xfId="1" applyNumberFormat="1" applyFont="1" applyFill="1" applyBorder="1" applyAlignment="1">
      <alignment horizontal="left" vertical="top"/>
    </xf>
    <xf numFmtId="49" fontId="9" fillId="0" borderId="39" xfId="1" applyNumberFormat="1" applyFont="1" applyFill="1" applyBorder="1" applyAlignment="1">
      <alignment horizontal="center" vertical="center" shrinkToFit="1"/>
    </xf>
    <xf numFmtId="0" fontId="9" fillId="0" borderId="9" xfId="1" applyNumberFormat="1" applyFont="1" applyFill="1" applyBorder="1" applyAlignment="1">
      <alignment vertical="center" shrinkToFit="1"/>
    </xf>
    <xf numFmtId="0" fontId="9" fillId="0" borderId="10" xfId="1" applyNumberFormat="1" applyFont="1" applyFill="1" applyBorder="1" applyAlignment="1">
      <alignment vertical="center" shrinkToFit="1"/>
    </xf>
    <xf numFmtId="0" fontId="9" fillId="0" borderId="11" xfId="1" applyNumberFormat="1" applyFont="1" applyFill="1" applyBorder="1" applyAlignment="1">
      <alignment vertical="center" shrinkToFit="1"/>
    </xf>
    <xf numFmtId="49" fontId="9" fillId="0" borderId="39" xfId="1" applyNumberFormat="1" applyFont="1" applyFill="1" applyBorder="1" applyAlignment="1">
      <alignment horizontal="center" vertical="center" shrinkToFit="1"/>
    </xf>
    <xf numFmtId="49" fontId="0" fillId="0" borderId="18" xfId="0" applyNumberFormat="1" applyBorder="1" applyAlignment="1">
      <alignment horizontal="center"/>
    </xf>
    <xf numFmtId="49" fontId="0" fillId="0" borderId="20" xfId="0" applyNumberFormat="1" applyBorder="1" applyAlignment="1">
      <alignment horizontal="center"/>
    </xf>
    <xf numFmtId="49" fontId="0" fillId="0" borderId="19" xfId="0" applyNumberFormat="1" applyBorder="1" applyAlignment="1">
      <alignment horizontal="center"/>
    </xf>
    <xf numFmtId="49" fontId="0" fillId="0" borderId="18" xfId="0" applyNumberFormat="1" applyBorder="1" applyAlignment="1">
      <alignment horizontal="left"/>
    </xf>
    <xf numFmtId="49" fontId="0" fillId="0" borderId="19" xfId="0" applyNumberFormat="1" applyBorder="1" applyAlignment="1">
      <alignment horizontal="left"/>
    </xf>
    <xf numFmtId="49" fontId="0" fillId="0" borderId="20" xfId="0" applyNumberFormat="1" applyBorder="1" applyAlignment="1">
      <alignment horizontal="left"/>
    </xf>
    <xf numFmtId="49" fontId="0" fillId="0" borderId="18" xfId="0" applyNumberFormat="1" applyBorder="1" applyAlignment="1"/>
    <xf numFmtId="49" fontId="0" fillId="0" borderId="19" xfId="0" applyNumberFormat="1" applyBorder="1" applyAlignment="1"/>
    <xf numFmtId="49" fontId="0" fillId="0" borderId="20" xfId="0" applyNumberFormat="1" applyBorder="1" applyAlignment="1"/>
    <xf numFmtId="49" fontId="0" fillId="0" borderId="17" xfId="0" applyNumberFormat="1" applyBorder="1" applyAlignment="1">
      <alignment horizontal="center"/>
    </xf>
    <xf numFmtId="49" fontId="0" fillId="0" borderId="13" xfId="0" applyNumberFormat="1" applyBorder="1" applyAlignment="1">
      <alignment horizontal="center"/>
    </xf>
    <xf numFmtId="49" fontId="0" fillId="0" borderId="12" xfId="0" applyNumberFormat="1" applyBorder="1" applyAlignment="1">
      <alignment horizontal="center"/>
    </xf>
    <xf numFmtId="49" fontId="0" fillId="0" borderId="17" xfId="0" applyNumberFormat="1" applyBorder="1" applyAlignment="1">
      <alignment horizontal="left"/>
    </xf>
    <xf numFmtId="49" fontId="0" fillId="0" borderId="12" xfId="0" applyNumberFormat="1" applyBorder="1" applyAlignment="1">
      <alignment horizontal="left"/>
    </xf>
    <xf numFmtId="49" fontId="0" fillId="0" borderId="13" xfId="0" applyNumberFormat="1" applyBorder="1" applyAlignment="1">
      <alignment horizontal="left"/>
    </xf>
    <xf numFmtId="49" fontId="0" fillId="0" borderId="17" xfId="0" applyNumberFormat="1" applyBorder="1" applyAlignment="1"/>
    <xf numFmtId="49" fontId="0" fillId="0" borderId="12" xfId="0" applyNumberFormat="1" applyBorder="1" applyAlignment="1"/>
    <xf numFmtId="49" fontId="0" fillId="0" borderId="13" xfId="0" applyNumberFormat="1" applyBorder="1" applyAlignment="1"/>
    <xf numFmtId="49" fontId="8" fillId="0" borderId="17" xfId="1" quotePrefix="1" applyNumberFormat="1" applyBorder="1" applyAlignment="1">
      <alignment horizontal="center"/>
    </xf>
    <xf numFmtId="49" fontId="8" fillId="0" borderId="13" xfId="1" applyNumberFormat="1" applyBorder="1" applyAlignment="1">
      <alignment horizontal="center"/>
    </xf>
    <xf numFmtId="49" fontId="8" fillId="0" borderId="17" xfId="1" applyNumberFormat="1" applyBorder="1" applyAlignment="1">
      <alignment horizontal="center"/>
    </xf>
    <xf numFmtId="49" fontId="8" fillId="0" borderId="12" xfId="1" applyNumberFormat="1" applyBorder="1" applyAlignment="1">
      <alignment horizontal="center"/>
    </xf>
    <xf numFmtId="49" fontId="8" fillId="0" borderId="17" xfId="1" applyNumberFormat="1" applyBorder="1" applyAlignment="1">
      <alignment horizontal="left"/>
    </xf>
    <xf numFmtId="49" fontId="8" fillId="0" borderId="12" xfId="1" applyNumberFormat="1" applyBorder="1" applyAlignment="1">
      <alignment horizontal="left"/>
    </xf>
    <xf numFmtId="49" fontId="8" fillId="0" borderId="13" xfId="1" applyNumberFormat="1" applyBorder="1" applyAlignment="1">
      <alignment horizontal="left"/>
    </xf>
    <xf numFmtId="49" fontId="8" fillId="0" borderId="17" xfId="1" applyNumberFormat="1" applyBorder="1" applyAlignment="1"/>
    <xf numFmtId="49" fontId="8" fillId="0" borderId="12" xfId="1" applyNumberFormat="1" applyBorder="1" applyAlignment="1"/>
    <xf numFmtId="49" fontId="8" fillId="0" borderId="13" xfId="1" applyNumberFormat="1" applyBorder="1" applyAlignment="1"/>
    <xf numFmtId="49" fontId="0" fillId="0" borderId="14" xfId="0" applyNumberFormat="1" applyBorder="1" applyAlignment="1">
      <alignment horizontal="center"/>
    </xf>
    <xf numFmtId="49" fontId="0" fillId="0" borderId="16" xfId="0" applyNumberFormat="1" applyBorder="1" applyAlignment="1">
      <alignment horizontal="center"/>
    </xf>
    <xf numFmtId="49" fontId="0" fillId="0" borderId="15" xfId="0" applyNumberFormat="1" applyBorder="1" applyAlignment="1">
      <alignment horizontal="center"/>
    </xf>
    <xf numFmtId="49" fontId="0" fillId="0" borderId="14" xfId="0" applyNumberFormat="1" applyBorder="1" applyAlignment="1">
      <alignment horizontal="left"/>
    </xf>
    <xf numFmtId="49" fontId="0" fillId="0" borderId="15" xfId="0" applyNumberFormat="1" applyBorder="1" applyAlignment="1">
      <alignment horizontal="left"/>
    </xf>
    <xf numFmtId="49" fontId="0" fillId="0" borderId="16" xfId="0" applyNumberFormat="1" applyBorder="1" applyAlignment="1">
      <alignment horizontal="left"/>
    </xf>
    <xf numFmtId="49" fontId="0" fillId="0" borderId="14" xfId="0" applyNumberFormat="1" applyBorder="1" applyAlignment="1"/>
    <xf numFmtId="49" fontId="0" fillId="0" borderId="15" xfId="0" applyNumberFormat="1" applyBorder="1" applyAlignment="1"/>
    <xf numFmtId="49" fontId="0" fillId="0" borderId="16" xfId="0" applyNumberFormat="1" applyBorder="1" applyAlignment="1"/>
    <xf numFmtId="49" fontId="3" fillId="2" borderId="9" xfId="0" applyNumberFormat="1" applyFont="1" applyFill="1" applyBorder="1" applyAlignment="1">
      <alignment horizontal="center"/>
    </xf>
    <xf numFmtId="49" fontId="3" fillId="2" borderId="11" xfId="0" applyNumberFormat="1" applyFont="1" applyFill="1" applyBorder="1" applyAlignment="1">
      <alignment horizontal="center"/>
    </xf>
    <xf numFmtId="49" fontId="3" fillId="2" borderId="10" xfId="0" applyNumberFormat="1" applyFont="1" applyFill="1" applyBorder="1" applyAlignment="1">
      <alignment horizontal="center"/>
    </xf>
    <xf numFmtId="49" fontId="12" fillId="0" borderId="1" xfId="0" applyNumberFormat="1" applyFont="1" applyBorder="1" applyAlignment="1">
      <alignment horizontal="center" vertical="center"/>
    </xf>
    <xf numFmtId="49" fontId="12" fillId="0" borderId="2" xfId="0" applyNumberFormat="1" applyFont="1" applyBorder="1" applyAlignment="1">
      <alignment horizontal="center" vertical="center"/>
    </xf>
    <xf numFmtId="49" fontId="12" fillId="0" borderId="3" xfId="0" applyNumberFormat="1" applyFont="1" applyBorder="1" applyAlignment="1">
      <alignment horizontal="center" vertical="center"/>
    </xf>
    <xf numFmtId="49" fontId="12" fillId="0" borderId="6" xfId="0" applyNumberFormat="1" applyFont="1" applyBorder="1" applyAlignment="1">
      <alignment horizontal="center" vertical="center"/>
    </xf>
    <xf numFmtId="49" fontId="12" fillId="0" borderId="7" xfId="0" applyNumberFormat="1" applyFont="1" applyBorder="1" applyAlignment="1">
      <alignment horizontal="center" vertical="center"/>
    </xf>
    <xf numFmtId="49" fontId="12" fillId="0" borderId="8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horizontal="center" vertical="center" shrinkToFit="1"/>
    </xf>
    <xf numFmtId="49" fontId="4" fillId="0" borderId="2" xfId="0" applyNumberFormat="1" applyFont="1" applyBorder="1" applyAlignment="1">
      <alignment horizontal="center" vertical="center" shrinkToFit="1"/>
    </xf>
    <xf numFmtId="49" fontId="4" fillId="0" borderId="3" xfId="0" applyNumberFormat="1" applyFont="1" applyBorder="1" applyAlignment="1">
      <alignment horizontal="center" vertical="center" shrinkToFit="1"/>
    </xf>
    <xf numFmtId="49" fontId="4" fillId="0" borderId="6" xfId="0" applyNumberFormat="1" applyFont="1" applyBorder="1" applyAlignment="1">
      <alignment horizontal="center" vertical="center" shrinkToFit="1"/>
    </xf>
    <xf numFmtId="49" fontId="4" fillId="0" borderId="7" xfId="0" applyNumberFormat="1" applyFont="1" applyBorder="1" applyAlignment="1">
      <alignment horizontal="center" vertical="center" shrinkToFit="1"/>
    </xf>
    <xf numFmtId="49" fontId="4" fillId="0" borderId="8" xfId="0" applyNumberFormat="1" applyFont="1" applyBorder="1" applyAlignment="1">
      <alignment horizontal="center" vertical="center" shrinkToFit="1"/>
    </xf>
    <xf numFmtId="49" fontId="5" fillId="0" borderId="1" xfId="0" applyNumberFormat="1" applyFont="1" applyBorder="1" applyAlignment="1">
      <alignment horizontal="center" vertical="center" shrinkToFit="1"/>
    </xf>
    <xf numFmtId="49" fontId="5" fillId="0" borderId="2" xfId="0" applyNumberFormat="1" applyFont="1" applyBorder="1" applyAlignment="1">
      <alignment horizontal="center" vertical="center" shrinkToFit="1"/>
    </xf>
    <xf numFmtId="49" fontId="5" fillId="0" borderId="3" xfId="0" applyNumberFormat="1" applyFont="1" applyBorder="1" applyAlignment="1">
      <alignment horizontal="center" vertical="center" shrinkToFit="1"/>
    </xf>
    <xf numFmtId="49" fontId="5" fillId="0" borderId="6" xfId="0" applyNumberFormat="1" applyFont="1" applyBorder="1" applyAlignment="1">
      <alignment horizontal="center" vertical="center" shrinkToFit="1"/>
    </xf>
    <xf numFmtId="49" fontId="5" fillId="0" borderId="7" xfId="0" applyNumberFormat="1" applyFont="1" applyBorder="1" applyAlignment="1">
      <alignment horizontal="center" vertical="center" shrinkToFit="1"/>
    </xf>
    <xf numFmtId="49" fontId="5" fillId="0" borderId="8" xfId="0" applyNumberFormat="1" applyFont="1" applyBorder="1" applyAlignment="1">
      <alignment horizontal="center" vertical="center" shrinkToFit="1"/>
    </xf>
    <xf numFmtId="49" fontId="9" fillId="2" borderId="9" xfId="1" applyNumberFormat="1" applyFont="1" applyFill="1" applyBorder="1" applyAlignment="1">
      <alignment horizontal="center" vertical="center"/>
    </xf>
    <xf numFmtId="49" fontId="9" fillId="2" borderId="11" xfId="1" applyNumberFormat="1" applyFont="1" applyFill="1" applyBorder="1" applyAlignment="1">
      <alignment horizontal="center" vertical="center"/>
    </xf>
    <xf numFmtId="49" fontId="9" fillId="2" borderId="10" xfId="1" applyNumberFormat="1" applyFont="1" applyFill="1" applyBorder="1" applyAlignment="1">
      <alignment horizontal="center" vertical="center"/>
    </xf>
    <xf numFmtId="14" fontId="9" fillId="0" borderId="1" xfId="1" applyNumberFormat="1" applyFont="1" applyBorder="1" applyAlignment="1">
      <alignment horizontal="center" vertical="center"/>
    </xf>
    <xf numFmtId="14" fontId="9" fillId="0" borderId="3" xfId="1" applyNumberFormat="1" applyFont="1" applyBorder="1" applyAlignment="1">
      <alignment horizontal="center" vertical="center"/>
    </xf>
    <xf numFmtId="14" fontId="9" fillId="0" borderId="6" xfId="1" applyNumberFormat="1" applyFont="1" applyBorder="1" applyAlignment="1">
      <alignment horizontal="center" vertical="center"/>
    </xf>
    <xf numFmtId="14" fontId="9" fillId="0" borderId="8" xfId="1" applyNumberFormat="1" applyFont="1" applyBorder="1" applyAlignment="1">
      <alignment horizontal="center" vertical="center"/>
    </xf>
    <xf numFmtId="49" fontId="9" fillId="0" borderId="1" xfId="1" applyNumberFormat="1" applyFont="1" applyBorder="1" applyAlignment="1">
      <alignment horizontal="center" vertical="center"/>
    </xf>
    <xf numFmtId="49" fontId="9" fillId="0" borderId="2" xfId="1" applyNumberFormat="1" applyFont="1" applyBorder="1" applyAlignment="1">
      <alignment horizontal="center" vertical="center"/>
    </xf>
    <xf numFmtId="49" fontId="9" fillId="0" borderId="3" xfId="1" applyNumberFormat="1" applyFont="1" applyBorder="1" applyAlignment="1">
      <alignment horizontal="center" vertical="center"/>
    </xf>
    <xf numFmtId="49" fontId="9" fillId="0" borderId="6" xfId="1" applyNumberFormat="1" applyFont="1" applyBorder="1" applyAlignment="1">
      <alignment horizontal="center" vertical="center"/>
    </xf>
    <xf numFmtId="49" fontId="9" fillId="0" borderId="7" xfId="1" applyNumberFormat="1" applyFont="1" applyBorder="1" applyAlignment="1">
      <alignment horizontal="center" vertical="center"/>
    </xf>
    <xf numFmtId="49" fontId="9" fillId="0" borderId="8" xfId="1" applyNumberFormat="1" applyFont="1" applyBorder="1" applyAlignment="1">
      <alignment horizontal="center" vertical="center"/>
    </xf>
    <xf numFmtId="38" fontId="9" fillId="0" borderId="39" xfId="5" applyFont="1" applyFill="1" applyBorder="1" applyAlignment="1">
      <alignment vertical="top"/>
    </xf>
    <xf numFmtId="49" fontId="9" fillId="2" borderId="9" xfId="1" applyNumberFormat="1" applyFont="1" applyFill="1" applyBorder="1" applyAlignment="1">
      <alignment horizontal="center" vertical="top"/>
    </xf>
    <xf numFmtId="49" fontId="9" fillId="2" borderId="10" xfId="1" applyNumberFormat="1" applyFont="1" applyFill="1" applyBorder="1" applyAlignment="1">
      <alignment horizontal="center" vertical="top"/>
    </xf>
    <xf numFmtId="49" fontId="9" fillId="2" borderId="11" xfId="1" applyNumberFormat="1" applyFont="1" applyFill="1" applyBorder="1" applyAlignment="1">
      <alignment horizontal="center" vertical="top"/>
    </xf>
    <xf numFmtId="0" fontId="13" fillId="2" borderId="1" xfId="1" applyNumberFormat="1" applyFont="1" applyFill="1" applyBorder="1" applyAlignment="1">
      <alignment horizontal="center" vertical="center"/>
    </xf>
    <xf numFmtId="0" fontId="13" fillId="2" borderId="2" xfId="1" applyNumberFormat="1" applyFont="1" applyFill="1" applyBorder="1" applyAlignment="1">
      <alignment horizontal="center" vertical="center"/>
    </xf>
    <xf numFmtId="0" fontId="13" fillId="2" borderId="3" xfId="1" applyNumberFormat="1" applyFont="1" applyFill="1" applyBorder="1" applyAlignment="1">
      <alignment horizontal="center" vertical="center"/>
    </xf>
    <xf numFmtId="0" fontId="13" fillId="2" borderId="4" xfId="1" applyNumberFormat="1" applyFont="1" applyFill="1" applyBorder="1" applyAlignment="1">
      <alignment horizontal="center" vertical="center"/>
    </xf>
    <xf numFmtId="0" fontId="13" fillId="2" borderId="0" xfId="1" applyNumberFormat="1" applyFont="1" applyFill="1" applyBorder="1" applyAlignment="1">
      <alignment horizontal="center" vertical="center"/>
    </xf>
    <xf numFmtId="0" fontId="13" fillId="2" borderId="5" xfId="1" applyNumberFormat="1" applyFont="1" applyFill="1" applyBorder="1" applyAlignment="1">
      <alignment horizontal="center" vertical="center"/>
    </xf>
    <xf numFmtId="0" fontId="13" fillId="2" borderId="6" xfId="1" applyNumberFormat="1" applyFont="1" applyFill="1" applyBorder="1" applyAlignment="1">
      <alignment horizontal="center" vertical="center"/>
    </xf>
    <xf numFmtId="0" fontId="13" fillId="2" borderId="7" xfId="1" applyNumberFormat="1" applyFont="1" applyFill="1" applyBorder="1" applyAlignment="1">
      <alignment horizontal="center" vertical="center"/>
    </xf>
    <xf numFmtId="0" fontId="13" fillId="2" borderId="8" xfId="1" applyNumberFormat="1" applyFont="1" applyFill="1" applyBorder="1" applyAlignment="1">
      <alignment horizontal="center" vertical="center"/>
    </xf>
    <xf numFmtId="49" fontId="9" fillId="2" borderId="39" xfId="1" applyNumberFormat="1" applyFont="1" applyFill="1" applyBorder="1" applyAlignment="1">
      <alignment horizontal="center" vertical="center"/>
    </xf>
    <xf numFmtId="49" fontId="9" fillId="4" borderId="9" xfId="1" applyNumberFormat="1" applyFont="1" applyFill="1" applyBorder="1" applyAlignment="1">
      <alignment horizontal="center" vertical="center"/>
    </xf>
    <xf numFmtId="49" fontId="9" fillId="4" borderId="10" xfId="1" applyNumberFormat="1" applyFont="1" applyFill="1" applyBorder="1" applyAlignment="1">
      <alignment horizontal="center" vertical="center"/>
    </xf>
    <xf numFmtId="49" fontId="9" fillId="4" borderId="11" xfId="1" applyNumberFormat="1" applyFont="1" applyFill="1" applyBorder="1" applyAlignment="1">
      <alignment horizontal="center" vertical="center"/>
    </xf>
    <xf numFmtId="0" fontId="9" fillId="0" borderId="1" xfId="1" applyNumberFormat="1" applyFont="1" applyBorder="1" applyAlignment="1">
      <alignment horizontal="center" vertical="center"/>
    </xf>
    <xf numFmtId="0" fontId="9" fillId="0" borderId="2" xfId="1" applyNumberFormat="1" applyFont="1" applyBorder="1" applyAlignment="1">
      <alignment horizontal="center" vertical="center"/>
    </xf>
    <xf numFmtId="0" fontId="9" fillId="0" borderId="3" xfId="1" applyNumberFormat="1" applyFont="1" applyBorder="1" applyAlignment="1">
      <alignment horizontal="center" vertical="center"/>
    </xf>
    <xf numFmtId="0" fontId="9" fillId="0" borderId="6" xfId="1" applyNumberFormat="1" applyFont="1" applyBorder="1" applyAlignment="1">
      <alignment horizontal="center" vertical="center"/>
    </xf>
    <xf numFmtId="0" fontId="9" fillId="0" borderId="7" xfId="1" applyNumberFormat="1" applyFont="1" applyBorder="1" applyAlignment="1">
      <alignment horizontal="center" vertical="center"/>
    </xf>
    <xf numFmtId="0" fontId="9" fillId="0" borderId="8" xfId="1" applyNumberFormat="1" applyFont="1" applyBorder="1" applyAlignment="1">
      <alignment horizontal="center" vertical="center"/>
    </xf>
    <xf numFmtId="49" fontId="9" fillId="2" borderId="39" xfId="1" applyNumberFormat="1" applyFont="1" applyFill="1" applyBorder="1" applyAlignment="1">
      <alignment horizontal="center" vertical="center" shrinkToFit="1"/>
    </xf>
    <xf numFmtId="49" fontId="9" fillId="0" borderId="39" xfId="1" applyNumberFormat="1" applyFont="1" applyFill="1" applyBorder="1" applyAlignment="1">
      <alignment vertical="center" shrinkToFit="1"/>
    </xf>
    <xf numFmtId="49" fontId="9" fillId="0" borderId="39" xfId="1" applyNumberFormat="1" applyFont="1" applyFill="1" applyBorder="1" applyAlignment="1">
      <alignment horizontal="center" vertical="center" shrinkToFit="1"/>
    </xf>
    <xf numFmtId="49" fontId="9" fillId="2" borderId="9" xfId="1" applyNumberFormat="1" applyFont="1" applyFill="1" applyBorder="1" applyAlignment="1">
      <alignment horizontal="center" vertical="center" shrinkToFit="1"/>
    </xf>
    <xf numFmtId="49" fontId="9" fillId="2" borderId="11" xfId="1" applyNumberFormat="1" applyFont="1" applyFill="1" applyBorder="1" applyAlignment="1">
      <alignment horizontal="center" vertical="center" shrinkToFit="1"/>
    </xf>
    <xf numFmtId="38" fontId="9" fillId="0" borderId="9" xfId="5" applyFont="1" applyFill="1" applyBorder="1" applyAlignment="1">
      <alignment vertical="center"/>
    </xf>
    <xf numFmtId="38" fontId="9" fillId="0" borderId="11" xfId="5" applyFont="1" applyFill="1" applyBorder="1" applyAlignment="1">
      <alignment vertical="center"/>
    </xf>
    <xf numFmtId="0" fontId="9" fillId="2" borderId="67" xfId="1" applyNumberFormat="1" applyFont="1" applyFill="1" applyBorder="1" applyAlignment="1">
      <alignment horizontal="center" vertical="center"/>
    </xf>
    <xf numFmtId="0" fontId="9" fillId="2" borderId="68" xfId="1" applyNumberFormat="1" applyFont="1" applyFill="1" applyBorder="1" applyAlignment="1">
      <alignment horizontal="center" vertical="center"/>
    </xf>
    <xf numFmtId="38" fontId="9" fillId="0" borderId="71" xfId="5" applyFont="1" applyFill="1" applyBorder="1" applyAlignment="1">
      <alignment vertical="center"/>
    </xf>
    <xf numFmtId="0" fontId="26" fillId="2" borderId="68" xfId="1" applyNumberFormat="1" applyFont="1" applyFill="1" applyBorder="1" applyAlignment="1">
      <alignment horizontal="center" vertical="center"/>
    </xf>
    <xf numFmtId="0" fontId="26" fillId="2" borderId="69" xfId="1" applyNumberFormat="1" applyFont="1" applyFill="1" applyBorder="1" applyAlignment="1">
      <alignment horizontal="center" vertical="center"/>
    </xf>
    <xf numFmtId="38" fontId="26" fillId="0" borderId="70" xfId="5" applyFont="1" applyFill="1" applyBorder="1" applyAlignment="1">
      <alignment vertical="center" shrinkToFit="1"/>
    </xf>
    <xf numFmtId="38" fontId="26" fillId="0" borderId="11" xfId="5" applyFont="1" applyFill="1" applyBorder="1" applyAlignment="1">
      <alignment vertical="center" shrinkToFit="1"/>
    </xf>
    <xf numFmtId="0" fontId="9" fillId="2" borderId="39" xfId="1" applyNumberFormat="1" applyFont="1" applyFill="1" applyBorder="1" applyAlignment="1">
      <alignment horizontal="center" vertical="center"/>
    </xf>
    <xf numFmtId="38" fontId="9" fillId="2" borderId="66" xfId="5" applyFont="1" applyFill="1" applyBorder="1" applyAlignment="1">
      <alignment horizontal="center" vertical="center"/>
    </xf>
    <xf numFmtId="38" fontId="9" fillId="0" borderId="39" xfId="5" applyFont="1" applyFill="1" applyBorder="1" applyAlignment="1">
      <alignment vertical="center"/>
    </xf>
    <xf numFmtId="38" fontId="9" fillId="2" borderId="1" xfId="5" applyFont="1" applyFill="1" applyBorder="1" applyAlignment="1">
      <alignment horizontal="center" vertical="center"/>
    </xf>
    <xf numFmtId="38" fontId="9" fillId="2" borderId="3" xfId="5" applyFont="1" applyFill="1" applyBorder="1" applyAlignment="1">
      <alignment horizontal="center" vertical="center"/>
    </xf>
    <xf numFmtId="0" fontId="9" fillId="0" borderId="1" xfId="1" applyNumberFormat="1" applyFont="1" applyFill="1" applyBorder="1" applyAlignment="1">
      <alignment vertical="center"/>
    </xf>
    <xf numFmtId="0" fontId="9" fillId="0" borderId="2" xfId="1" applyNumberFormat="1" applyFont="1" applyFill="1" applyBorder="1" applyAlignment="1">
      <alignment vertical="center"/>
    </xf>
    <xf numFmtId="0" fontId="9" fillId="0" borderId="3" xfId="1" applyNumberFormat="1" applyFont="1" applyFill="1" applyBorder="1" applyAlignment="1">
      <alignment vertical="center"/>
    </xf>
    <xf numFmtId="0" fontId="9" fillId="0" borderId="9" xfId="1" applyNumberFormat="1" applyFont="1" applyFill="1" applyBorder="1" applyAlignment="1">
      <alignment vertical="center" shrinkToFit="1"/>
    </xf>
    <xf numFmtId="0" fontId="9" fillId="0" borderId="10" xfId="1" applyNumberFormat="1" applyFont="1" applyFill="1" applyBorder="1" applyAlignment="1">
      <alignment vertical="center" shrinkToFit="1"/>
    </xf>
    <xf numFmtId="0" fontId="9" fillId="0" borderId="11" xfId="1" applyNumberFormat="1" applyFont="1" applyFill="1" applyBorder="1" applyAlignment="1">
      <alignment vertical="center" shrinkToFit="1"/>
    </xf>
    <xf numFmtId="0" fontId="9" fillId="0" borderId="9" xfId="1" applyNumberFormat="1" applyFont="1" applyFill="1" applyBorder="1" applyAlignment="1">
      <alignment horizontal="center" vertical="center" shrinkToFit="1"/>
    </xf>
    <xf numFmtId="0" fontId="9" fillId="0" borderId="10" xfId="1" applyNumberFormat="1" applyFont="1" applyFill="1" applyBorder="1" applyAlignment="1">
      <alignment horizontal="center" vertical="center" shrinkToFit="1"/>
    </xf>
    <xf numFmtId="0" fontId="9" fillId="0" borderId="11" xfId="1" applyNumberFormat="1" applyFont="1" applyFill="1" applyBorder="1" applyAlignment="1">
      <alignment horizontal="center" vertical="center" shrinkToFit="1"/>
    </xf>
    <xf numFmtId="0" fontId="9" fillId="0" borderId="9" xfId="1" applyNumberFormat="1" applyFont="1" applyFill="1" applyBorder="1" applyAlignment="1">
      <alignment horizontal="left" vertical="center" shrinkToFit="1"/>
    </xf>
    <xf numFmtId="0" fontId="9" fillId="0" borderId="10" xfId="1" applyNumberFormat="1" applyFont="1" applyFill="1" applyBorder="1" applyAlignment="1">
      <alignment horizontal="left" vertical="center" shrinkToFit="1"/>
    </xf>
    <xf numFmtId="0" fontId="9" fillId="0" borderId="11" xfId="1" applyNumberFormat="1" applyFont="1" applyFill="1" applyBorder="1" applyAlignment="1">
      <alignment horizontal="left" vertical="center" shrinkToFit="1"/>
    </xf>
    <xf numFmtId="0" fontId="9" fillId="0" borderId="9" xfId="1" quotePrefix="1" applyNumberFormat="1" applyFont="1" applyFill="1" applyBorder="1" applyAlignment="1">
      <alignment horizontal="left" vertical="center" shrinkToFit="1"/>
    </xf>
    <xf numFmtId="0" fontId="9" fillId="2" borderId="9" xfId="1" applyNumberFormat="1" applyFont="1" applyFill="1" applyBorder="1" applyAlignment="1">
      <alignment horizontal="center" vertical="center"/>
    </xf>
    <xf numFmtId="0" fontId="9" fillId="2" borderId="10" xfId="1" applyNumberFormat="1" applyFont="1" applyFill="1" applyBorder="1" applyAlignment="1">
      <alignment horizontal="center" vertical="center"/>
    </xf>
    <xf numFmtId="0" fontId="9" fillId="2" borderId="11" xfId="1" applyNumberFormat="1" applyFont="1" applyFill="1" applyBorder="1" applyAlignment="1">
      <alignment horizontal="center" vertical="center"/>
    </xf>
    <xf numFmtId="20" fontId="9" fillId="0" borderId="9" xfId="1" applyNumberFormat="1" applyFont="1" applyFill="1" applyBorder="1" applyAlignment="1">
      <alignment vertical="center" shrinkToFit="1"/>
    </xf>
    <xf numFmtId="0" fontId="8" fillId="0" borderId="39" xfId="1" applyBorder="1" applyAlignment="1">
      <alignment horizontal="left"/>
    </xf>
    <xf numFmtId="0" fontId="15" fillId="0" borderId="32" xfId="1" applyFont="1" applyBorder="1" applyAlignment="1">
      <alignment horizontal="center" vertical="center"/>
    </xf>
    <xf numFmtId="0" fontId="15" fillId="0" borderId="30" xfId="1" applyFont="1" applyBorder="1" applyAlignment="1">
      <alignment horizontal="center" vertical="center"/>
    </xf>
    <xf numFmtId="0" fontId="15" fillId="0" borderId="31" xfId="1" applyFont="1" applyBorder="1" applyAlignment="1">
      <alignment horizontal="center" vertical="center"/>
    </xf>
    <xf numFmtId="0" fontId="8" fillId="0" borderId="34" xfId="1" applyFont="1" applyBorder="1" applyAlignment="1">
      <alignment horizontal="left" vertical="top"/>
    </xf>
    <xf numFmtId="0" fontId="8" fillId="0" borderId="35" xfId="1" applyFont="1" applyBorder="1" applyAlignment="1">
      <alignment horizontal="left" vertical="top"/>
    </xf>
    <xf numFmtId="0" fontId="16" fillId="0" borderId="35" xfId="1" applyFont="1" applyBorder="1" applyAlignment="1">
      <alignment horizontal="left" vertical="center"/>
    </xf>
    <xf numFmtId="0" fontId="16" fillId="0" borderId="36" xfId="1" applyFont="1" applyBorder="1" applyAlignment="1">
      <alignment horizontal="left" vertical="center"/>
    </xf>
    <xf numFmtId="0" fontId="8" fillId="3" borderId="39" xfId="1" applyFill="1" applyBorder="1" applyAlignment="1">
      <alignment horizontal="left"/>
    </xf>
    <xf numFmtId="0" fontId="8" fillId="0" borderId="37" xfId="1" applyFont="1" applyBorder="1" applyAlignment="1">
      <alignment horizontal="center" vertical="center"/>
    </xf>
    <xf numFmtId="0" fontId="8" fillId="0" borderId="0" xfId="1" applyBorder="1" applyAlignment="1">
      <alignment horizontal="center" vertical="center"/>
    </xf>
    <xf numFmtId="14" fontId="8" fillId="0" borderId="0" xfId="1" quotePrefix="1" applyNumberFormat="1" applyFont="1" applyBorder="1" applyAlignment="1">
      <alignment horizontal="center" vertical="center"/>
    </xf>
    <xf numFmtId="0" fontId="8" fillId="0" borderId="0" xfId="1" applyFont="1" applyBorder="1" applyAlignment="1">
      <alignment horizontal="center" vertical="center"/>
    </xf>
    <xf numFmtId="0" fontId="19" fillId="0" borderId="0" xfId="1" applyFont="1" applyBorder="1" applyAlignment="1">
      <alignment horizontal="left" vertical="center"/>
    </xf>
    <xf numFmtId="0" fontId="8" fillId="0" borderId="0" xfId="1" applyBorder="1" applyAlignment="1">
      <alignment vertical="center"/>
    </xf>
    <xf numFmtId="0" fontId="14" fillId="0" borderId="0" xfId="1" applyFont="1" applyBorder="1" applyAlignment="1">
      <alignment horizontal="left" vertical="center"/>
    </xf>
    <xf numFmtId="0" fontId="8" fillId="0" borderId="0" xfId="1" applyBorder="1" applyAlignment="1">
      <alignment horizontal="left" vertical="center"/>
    </xf>
    <xf numFmtId="0" fontId="8" fillId="0" borderId="38" xfId="1" applyBorder="1" applyAlignment="1">
      <alignment horizontal="left" vertical="center"/>
    </xf>
    <xf numFmtId="0" fontId="8" fillId="0" borderId="40" xfId="1" applyFont="1" applyBorder="1" applyAlignment="1">
      <alignment horizontal="center" vertical="center"/>
    </xf>
    <xf numFmtId="0" fontId="8" fillId="0" borderId="7" xfId="1" applyBorder="1" applyAlignment="1">
      <alignment horizontal="center" vertical="center"/>
    </xf>
    <xf numFmtId="14" fontId="8" fillId="0" borderId="7" xfId="1" applyNumberFormat="1" applyFont="1" applyBorder="1" applyAlignment="1">
      <alignment horizontal="center" vertical="center"/>
    </xf>
    <xf numFmtId="0" fontId="8" fillId="0" borderId="7" xfId="1" applyFont="1" applyBorder="1" applyAlignment="1">
      <alignment horizontal="center" vertical="center"/>
    </xf>
    <xf numFmtId="0" fontId="8" fillId="0" borderId="42" xfId="1" applyFont="1" applyBorder="1" applyAlignment="1">
      <alignment horizontal="center" vertical="center"/>
    </xf>
    <xf numFmtId="0" fontId="8" fillId="0" borderId="43" xfId="1" applyFont="1" applyBorder="1" applyAlignment="1">
      <alignment horizontal="center" vertical="center"/>
    </xf>
    <xf numFmtId="0" fontId="8" fillId="0" borderId="44" xfId="1" applyFont="1" applyBorder="1" applyAlignment="1">
      <alignment horizontal="center" vertical="center"/>
    </xf>
    <xf numFmtId="0" fontId="8" fillId="0" borderId="45" xfId="1" applyFont="1" applyBorder="1" applyAlignment="1">
      <alignment horizontal="center" vertical="center"/>
    </xf>
    <xf numFmtId="0" fontId="8" fillId="0" borderId="46" xfId="1" applyFont="1" applyBorder="1" applyAlignment="1">
      <alignment horizontal="center" vertical="center"/>
    </xf>
    <xf numFmtId="0" fontId="8" fillId="0" borderId="47" xfId="1" applyFont="1" applyBorder="1" applyAlignment="1">
      <alignment horizontal="center" vertical="center"/>
    </xf>
    <xf numFmtId="0" fontId="8" fillId="0" borderId="48" xfId="1" applyFont="1" applyBorder="1" applyAlignment="1">
      <alignment horizontal="center" vertical="center"/>
    </xf>
    <xf numFmtId="0" fontId="8" fillId="0" borderId="49" xfId="1" applyFont="1" applyBorder="1" applyAlignment="1">
      <alignment horizontal="center" vertical="center"/>
    </xf>
    <xf numFmtId="0" fontId="8" fillId="0" borderId="48" xfId="1" applyBorder="1"/>
    <xf numFmtId="0" fontId="8" fillId="0" borderId="49" xfId="1" applyBorder="1"/>
    <xf numFmtId="0" fontId="8" fillId="0" borderId="50" xfId="1" applyFont="1" applyBorder="1" applyAlignment="1">
      <alignment horizontal="center" vertical="center"/>
    </xf>
    <xf numFmtId="0" fontId="8" fillId="0" borderId="51" xfId="1" applyFont="1" applyBorder="1" applyAlignment="1">
      <alignment horizontal="center" vertical="center"/>
    </xf>
    <xf numFmtId="0" fontId="8" fillId="0" borderId="52" xfId="1" applyFont="1" applyBorder="1" applyAlignment="1">
      <alignment horizontal="center" vertical="center"/>
    </xf>
    <xf numFmtId="0" fontId="8" fillId="0" borderId="53" xfId="1" applyFont="1" applyBorder="1" applyAlignment="1">
      <alignment horizontal="center" vertical="center"/>
    </xf>
    <xf numFmtId="0" fontId="8" fillId="0" borderId="54" xfId="1" applyFont="1" applyBorder="1" applyAlignment="1">
      <alignment horizontal="center" vertical="center"/>
    </xf>
    <xf numFmtId="0" fontId="8" fillId="0" borderId="55" xfId="1" applyFont="1" applyBorder="1" applyAlignment="1">
      <alignment horizontal="center" vertical="center"/>
    </xf>
    <xf numFmtId="0" fontId="8" fillId="0" borderId="56" xfId="1" applyFont="1" applyBorder="1" applyAlignment="1">
      <alignment horizontal="center" vertical="center"/>
    </xf>
    <xf numFmtId="0" fontId="8" fillId="0" borderId="57" xfId="1" applyFont="1" applyBorder="1" applyAlignment="1">
      <alignment horizontal="center" vertical="center"/>
    </xf>
    <xf numFmtId="0" fontId="8" fillId="0" borderId="58" xfId="1" applyFont="1" applyBorder="1" applyAlignment="1">
      <alignment horizontal="center" vertical="center"/>
    </xf>
    <xf numFmtId="0" fontId="8" fillId="0" borderId="59" xfId="1" applyFont="1" applyBorder="1" applyAlignment="1">
      <alignment horizontal="center" vertical="center"/>
    </xf>
    <xf numFmtId="0" fontId="20" fillId="0" borderId="37" xfId="1" applyFont="1" applyBorder="1" applyAlignment="1">
      <alignment horizontal="center" vertical="center" textRotation="255"/>
    </xf>
    <xf numFmtId="0" fontId="20" fillId="0" borderId="0" xfId="1" applyFont="1" applyBorder="1" applyAlignment="1">
      <alignment horizontal="center" vertical="center" textRotation="255"/>
    </xf>
    <xf numFmtId="0" fontId="20" fillId="0" borderId="38" xfId="1" applyFont="1" applyBorder="1" applyAlignment="1">
      <alignment horizontal="center" vertical="center" textRotation="255"/>
    </xf>
    <xf numFmtId="0" fontId="20" fillId="0" borderId="32" xfId="1" applyFont="1" applyBorder="1" applyAlignment="1">
      <alignment horizontal="center" vertical="center" textRotation="255"/>
    </xf>
    <xf numFmtId="0" fontId="20" fillId="0" borderId="30" xfId="1" applyFont="1" applyBorder="1" applyAlignment="1">
      <alignment horizontal="center" vertical="center" textRotation="255"/>
    </xf>
    <xf numFmtId="0" fontId="20" fillId="0" borderId="31" xfId="1" applyFont="1" applyBorder="1" applyAlignment="1">
      <alignment horizontal="center" vertical="center" textRotation="255"/>
    </xf>
    <xf numFmtId="0" fontId="8" fillId="0" borderId="37" xfId="1" applyFont="1" applyBorder="1" applyAlignment="1">
      <alignment horizontal="center" vertical="center" textRotation="255" wrapText="1"/>
    </xf>
    <xf numFmtId="0" fontId="8" fillId="0" borderId="0" xfId="1" applyFont="1" applyBorder="1" applyAlignment="1">
      <alignment horizontal="center" vertical="center" textRotation="255"/>
    </xf>
    <xf numFmtId="0" fontId="8" fillId="0" borderId="38" xfId="1" applyFont="1" applyBorder="1" applyAlignment="1">
      <alignment horizontal="center" vertical="center" textRotation="255"/>
    </xf>
    <xf numFmtId="0" fontId="8" fillId="0" borderId="32" xfId="1" applyFont="1" applyBorder="1" applyAlignment="1">
      <alignment horizontal="center" vertical="center" textRotation="255"/>
    </xf>
    <xf numFmtId="0" fontId="8" fillId="0" borderId="30" xfId="1" applyFont="1" applyBorder="1" applyAlignment="1">
      <alignment horizontal="center" vertical="center" textRotation="255"/>
    </xf>
    <xf numFmtId="0" fontId="8" fillId="0" borderId="31" xfId="1" applyFont="1" applyBorder="1" applyAlignment="1">
      <alignment horizontal="center" vertical="center" textRotation="255"/>
    </xf>
    <xf numFmtId="0" fontId="22" fillId="0" borderId="25" xfId="1" applyFont="1" applyBorder="1" applyAlignment="1">
      <alignment horizontal="center" vertical="center"/>
    </xf>
    <xf numFmtId="0" fontId="22" fillId="0" borderId="26" xfId="1" applyFont="1" applyBorder="1" applyAlignment="1">
      <alignment horizontal="center" vertical="center"/>
    </xf>
    <xf numFmtId="0" fontId="8" fillId="0" borderId="34" xfId="1" applyFont="1" applyBorder="1" applyAlignment="1">
      <alignment horizontal="center" vertical="center"/>
    </xf>
    <xf numFmtId="0" fontId="8" fillId="0" borderId="35" xfId="1" applyFont="1" applyBorder="1" applyAlignment="1">
      <alignment horizontal="center" vertical="center"/>
    </xf>
    <xf numFmtId="0" fontId="8" fillId="0" borderId="36" xfId="1" applyFont="1" applyBorder="1" applyAlignment="1">
      <alignment horizontal="center" vertical="center"/>
    </xf>
    <xf numFmtId="0" fontId="14" fillId="0" borderId="34" xfId="1" applyFont="1" applyBorder="1" applyAlignment="1">
      <alignment horizontal="center" vertical="center"/>
    </xf>
    <xf numFmtId="0" fontId="14" fillId="0" borderId="35" xfId="1" applyFont="1" applyBorder="1" applyAlignment="1">
      <alignment horizontal="center" vertical="center"/>
    </xf>
    <xf numFmtId="0" fontId="14" fillId="0" borderId="61" xfId="1" applyFont="1" applyBorder="1" applyAlignment="1">
      <alignment horizontal="center" vertical="center"/>
    </xf>
    <xf numFmtId="0" fontId="14" fillId="0" borderId="62" xfId="1" applyFont="1" applyBorder="1" applyAlignment="1">
      <alignment horizontal="center" vertical="center"/>
    </xf>
    <xf numFmtId="0" fontId="14" fillId="0" borderId="36" xfId="1" applyFont="1" applyBorder="1" applyAlignment="1">
      <alignment horizontal="center" vertical="center"/>
    </xf>
    <xf numFmtId="0" fontId="3" fillId="5" borderId="64" xfId="0" applyFont="1" applyFill="1" applyBorder="1" applyAlignment="1">
      <alignment horizontal="left"/>
    </xf>
    <xf numFmtId="0" fontId="3" fillId="5" borderId="53" xfId="0" applyFont="1" applyFill="1" applyBorder="1" applyAlignment="1">
      <alignment horizontal="left"/>
    </xf>
    <xf numFmtId="0" fontId="3" fillId="5" borderId="65" xfId="0" applyFont="1" applyFill="1" applyBorder="1" applyAlignment="1">
      <alignment horizontal="left"/>
    </xf>
    <xf numFmtId="0" fontId="2" fillId="5" borderId="64" xfId="0" applyFont="1" applyFill="1" applyBorder="1" applyAlignment="1">
      <alignment horizontal="left" vertical="center"/>
    </xf>
    <xf numFmtId="0" fontId="2" fillId="5" borderId="53" xfId="0" applyFont="1" applyFill="1" applyBorder="1" applyAlignment="1">
      <alignment horizontal="left" vertical="center"/>
    </xf>
    <xf numFmtId="0" fontId="2" fillId="5" borderId="65" xfId="0" applyFont="1" applyFill="1" applyBorder="1" applyAlignment="1">
      <alignment horizontal="left" vertical="center"/>
    </xf>
  </cellXfs>
  <cellStyles count="6">
    <cellStyle name="IBM(401K)" xfId="2" xr:uid="{00000000-0005-0000-0000-000000000000}"/>
    <cellStyle name="J401K" xfId="3" xr:uid="{00000000-0005-0000-0000-000001000000}"/>
    <cellStyle name="桁区切り" xfId="5" builtinId="6"/>
    <cellStyle name="標準" xfId="0" builtinId="0"/>
    <cellStyle name="標準 2" xfId="1" xr:uid="{00000000-0005-0000-0000-000004000000}"/>
    <cellStyle name="未定義" xfId="4" xr:uid="{00000000-0005-0000-0000-000005000000}"/>
  </cellStyles>
  <dxfs count="705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34</xdr:col>
      <xdr:colOff>342216</xdr:colOff>
      <xdr:row>53</xdr:row>
      <xdr:rowOff>122464</xdr:rowOff>
    </xdr:from>
    <xdr:to>
      <xdr:col>35</xdr:col>
      <xdr:colOff>266788</xdr:colOff>
      <xdr:row>53</xdr:row>
      <xdr:rowOff>122464</xdr:rowOff>
    </xdr:to>
    <xdr:cxnSp macro="">
      <xdr:nvCxnSpPr>
        <xdr:cNvPr id="2" name="直線コネクタ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CxnSpPr/>
      </xdr:nvCxnSpPr>
      <xdr:spPr>
        <a:xfrm>
          <a:off x="13620066" y="9212489"/>
          <a:ext cx="315097" cy="0"/>
        </a:xfrm>
        <a:prstGeom prst="line">
          <a:avLst/>
        </a:prstGeom>
        <a:ln>
          <a:solidFill>
            <a:schemeClr val="tx1"/>
          </a:solidFill>
          <a:head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342216</xdr:colOff>
      <xdr:row>55</xdr:row>
      <xdr:rowOff>117928</xdr:rowOff>
    </xdr:from>
    <xdr:to>
      <xdr:col>35</xdr:col>
      <xdr:colOff>266788</xdr:colOff>
      <xdr:row>55</xdr:row>
      <xdr:rowOff>117928</xdr:rowOff>
    </xdr:to>
    <xdr:cxnSp macro="">
      <xdr:nvCxnSpPr>
        <xdr:cNvPr id="3" name="直線コネクタ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CxnSpPr/>
      </xdr:nvCxnSpPr>
      <xdr:spPr>
        <a:xfrm>
          <a:off x="13620066" y="9550853"/>
          <a:ext cx="315097" cy="0"/>
        </a:xfrm>
        <a:prstGeom prst="line">
          <a:avLst/>
        </a:prstGeom>
        <a:ln>
          <a:solidFill>
            <a:schemeClr val="tx1"/>
          </a:solidFill>
          <a:head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342216</xdr:colOff>
      <xdr:row>57</xdr:row>
      <xdr:rowOff>113393</xdr:rowOff>
    </xdr:from>
    <xdr:to>
      <xdr:col>35</xdr:col>
      <xdr:colOff>266788</xdr:colOff>
      <xdr:row>57</xdr:row>
      <xdr:rowOff>113393</xdr:rowOff>
    </xdr:to>
    <xdr:cxnSp macro="">
      <xdr:nvCxnSpPr>
        <xdr:cNvPr id="4" name="直線コネクタ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CxnSpPr/>
      </xdr:nvCxnSpPr>
      <xdr:spPr>
        <a:xfrm>
          <a:off x="13620066" y="9886043"/>
          <a:ext cx="315097" cy="0"/>
        </a:xfrm>
        <a:prstGeom prst="line">
          <a:avLst/>
        </a:prstGeom>
        <a:ln>
          <a:solidFill>
            <a:schemeClr val="tx1"/>
          </a:solidFill>
          <a:head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342216</xdr:colOff>
      <xdr:row>59</xdr:row>
      <xdr:rowOff>108857</xdr:rowOff>
    </xdr:from>
    <xdr:to>
      <xdr:col>35</xdr:col>
      <xdr:colOff>266788</xdr:colOff>
      <xdr:row>59</xdr:row>
      <xdr:rowOff>108857</xdr:rowOff>
    </xdr:to>
    <xdr:cxnSp macro="">
      <xdr:nvCxnSpPr>
        <xdr:cNvPr id="5" name="直線コネクタ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CxnSpPr/>
      </xdr:nvCxnSpPr>
      <xdr:spPr>
        <a:xfrm>
          <a:off x="13620066" y="10221232"/>
          <a:ext cx="315097" cy="0"/>
        </a:xfrm>
        <a:prstGeom prst="line">
          <a:avLst/>
        </a:prstGeom>
        <a:ln>
          <a:solidFill>
            <a:schemeClr val="tx1"/>
          </a:solidFill>
          <a:headEnd type="stealth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342216</xdr:colOff>
      <xdr:row>114</xdr:row>
      <xdr:rowOff>122464</xdr:rowOff>
    </xdr:from>
    <xdr:to>
      <xdr:col>35</xdr:col>
      <xdr:colOff>266788</xdr:colOff>
      <xdr:row>114</xdr:row>
      <xdr:rowOff>122464</xdr:rowOff>
    </xdr:to>
    <xdr:cxnSp macro="">
      <xdr:nvCxnSpPr>
        <xdr:cNvPr id="6" name="直線コネクタ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CxnSpPr/>
      </xdr:nvCxnSpPr>
      <xdr:spPr>
        <a:xfrm>
          <a:off x="13620066" y="19670939"/>
          <a:ext cx="315097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342216</xdr:colOff>
      <xdr:row>116</xdr:row>
      <xdr:rowOff>117928</xdr:rowOff>
    </xdr:from>
    <xdr:to>
      <xdr:col>35</xdr:col>
      <xdr:colOff>266788</xdr:colOff>
      <xdr:row>116</xdr:row>
      <xdr:rowOff>117928</xdr:rowOff>
    </xdr:to>
    <xdr:cxnSp macro="">
      <xdr:nvCxnSpPr>
        <xdr:cNvPr id="7" name="直線コネクタ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CxnSpPr/>
      </xdr:nvCxnSpPr>
      <xdr:spPr>
        <a:xfrm>
          <a:off x="13620066" y="20009303"/>
          <a:ext cx="315097" cy="0"/>
        </a:xfrm>
        <a:prstGeom prst="line">
          <a:avLst/>
        </a:prstGeom>
        <a:ln>
          <a:solidFill>
            <a:schemeClr val="tx1"/>
          </a:solidFill>
          <a:headEnd type="diamon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342216</xdr:colOff>
      <xdr:row>118</xdr:row>
      <xdr:rowOff>113393</xdr:rowOff>
    </xdr:from>
    <xdr:to>
      <xdr:col>35</xdr:col>
      <xdr:colOff>266788</xdr:colOff>
      <xdr:row>118</xdr:row>
      <xdr:rowOff>113393</xdr:rowOff>
    </xdr:to>
    <xdr:cxnSp macro="">
      <xdr:nvCxnSpPr>
        <xdr:cNvPr id="8" name="直線コネクタ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CxnSpPr/>
      </xdr:nvCxnSpPr>
      <xdr:spPr>
        <a:xfrm>
          <a:off x="13620066" y="20344493"/>
          <a:ext cx="315097" cy="0"/>
        </a:xfrm>
        <a:prstGeom prst="line">
          <a:avLst/>
        </a:prstGeom>
        <a:ln>
          <a:solidFill>
            <a:schemeClr val="tx1"/>
          </a:solidFill>
          <a:head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342216</xdr:colOff>
      <xdr:row>120</xdr:row>
      <xdr:rowOff>108857</xdr:rowOff>
    </xdr:from>
    <xdr:to>
      <xdr:col>35</xdr:col>
      <xdr:colOff>266788</xdr:colOff>
      <xdr:row>120</xdr:row>
      <xdr:rowOff>108857</xdr:rowOff>
    </xdr:to>
    <xdr:cxnSp macro="">
      <xdr:nvCxnSpPr>
        <xdr:cNvPr id="9" name="直線コネクタ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13620066" y="20679682"/>
          <a:ext cx="315097" cy="0"/>
        </a:xfrm>
        <a:prstGeom prst="line">
          <a:avLst/>
        </a:prstGeom>
        <a:ln>
          <a:solidFill>
            <a:schemeClr val="tx1"/>
          </a:solidFill>
          <a:headEnd type="stealth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142873</xdr:colOff>
      <xdr:row>47</xdr:row>
      <xdr:rowOff>163821</xdr:rowOff>
    </xdr:from>
    <xdr:to>
      <xdr:col>27</xdr:col>
      <xdr:colOff>363762</xdr:colOff>
      <xdr:row>49</xdr:row>
      <xdr:rowOff>10597</xdr:rowOff>
    </xdr:to>
    <xdr:sp macro="" textlink="">
      <xdr:nvSpPr>
        <xdr:cNvPr id="12" name="円/楕円 53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/>
      </xdr:nvSpPr>
      <xdr:spPr>
        <a:xfrm>
          <a:off x="10690223" y="8218796"/>
          <a:ext cx="217714" cy="189676"/>
        </a:xfrm>
        <a:prstGeom prst="ellipse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287063</xdr:colOff>
      <xdr:row>53</xdr:row>
      <xdr:rowOff>105686</xdr:rowOff>
    </xdr:from>
    <xdr:to>
      <xdr:col>29</xdr:col>
      <xdr:colOff>68648</xdr:colOff>
      <xdr:row>54</xdr:row>
      <xdr:rowOff>125644</xdr:rowOff>
    </xdr:to>
    <xdr:sp macro="" textlink="">
      <xdr:nvSpPr>
        <xdr:cNvPr id="13" name="円/楕円 54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>
        <a:xfrm>
          <a:off x="11221763" y="9189361"/>
          <a:ext cx="168935" cy="191408"/>
        </a:xfrm>
        <a:prstGeom prst="ellipse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48776</xdr:colOff>
      <xdr:row>22</xdr:row>
      <xdr:rowOff>139865</xdr:rowOff>
    </xdr:from>
    <xdr:to>
      <xdr:col>18</xdr:col>
      <xdr:colOff>266490</xdr:colOff>
      <xdr:row>23</xdr:row>
      <xdr:rowOff>159823</xdr:rowOff>
    </xdr:to>
    <xdr:sp macro="" textlink="">
      <xdr:nvSpPr>
        <xdr:cNvPr id="14" name="円/楕円 56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/>
      </xdr:nvSpPr>
      <xdr:spPr>
        <a:xfrm>
          <a:off x="7075051" y="3914940"/>
          <a:ext cx="220889" cy="191408"/>
        </a:xfrm>
        <a:prstGeom prst="ellipse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14</xdr:col>
      <xdr:colOff>219072</xdr:colOff>
      <xdr:row>52</xdr:row>
      <xdr:rowOff>0</xdr:rowOff>
    </xdr:from>
    <xdr:to>
      <xdr:col>15</xdr:col>
      <xdr:colOff>49436</xdr:colOff>
      <xdr:row>52</xdr:row>
      <xdr:rowOff>28489</xdr:rowOff>
    </xdr:to>
    <xdr:sp macro="" textlink="">
      <xdr:nvSpPr>
        <xdr:cNvPr id="15" name="円/楕円 58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>
        <a:xfrm>
          <a:off x="5689597" y="8915400"/>
          <a:ext cx="214539" cy="31664"/>
        </a:xfrm>
        <a:prstGeom prst="ellipse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353000</xdr:colOff>
      <xdr:row>29</xdr:row>
      <xdr:rowOff>87040</xdr:rowOff>
    </xdr:from>
    <xdr:to>
      <xdr:col>21</xdr:col>
      <xdr:colOff>173839</xdr:colOff>
      <xdr:row>30</xdr:row>
      <xdr:rowOff>97473</xdr:rowOff>
    </xdr:to>
    <xdr:sp macro="" textlink="">
      <xdr:nvSpPr>
        <xdr:cNvPr id="16" name="円/楕円 59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/>
      </xdr:nvSpPr>
      <xdr:spPr>
        <a:xfrm>
          <a:off x="8160325" y="5055915"/>
          <a:ext cx="214539" cy="185058"/>
        </a:xfrm>
        <a:prstGeom prst="ellipse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352425</xdr:colOff>
          <xdr:row>4</xdr:row>
          <xdr:rowOff>76200</xdr:rowOff>
        </xdr:from>
        <xdr:to>
          <xdr:col>36</xdr:col>
          <xdr:colOff>381000</xdr:colOff>
          <xdr:row>6</xdr:row>
          <xdr:rowOff>76200</xdr:rowOff>
        </xdr:to>
        <xdr:sp macro="" textlink="">
          <xdr:nvSpPr>
            <xdr:cNvPr id="663553" name="Button 1" hidden="1">
              <a:extLst>
                <a:ext uri="{63B3BB69-23CF-44E3-9099-C40C66FF867C}">
                  <a14:compatExt spid="_x0000_s663553"/>
                </a:ext>
                <a:ext uri="{FF2B5EF4-FFF2-40B4-BE49-F238E27FC236}">
                  <a16:creationId xmlns:a16="http://schemas.microsoft.com/office/drawing/2014/main" id="{00000000-0008-0000-0200-00000120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ER図更新</a:t>
              </a:r>
            </a:p>
          </xdr:txBody>
        </xdr:sp>
        <xdr:clientData fPrintsWithSheet="0"/>
      </xdr:twoCellAnchor>
    </mc:Choice>
    <mc:Fallback/>
  </mc:AlternateContent>
  <xdr:twoCellAnchor>
    <xdr:from>
      <xdr:col>34</xdr:col>
      <xdr:colOff>342216</xdr:colOff>
      <xdr:row>175</xdr:row>
      <xdr:rowOff>122464</xdr:rowOff>
    </xdr:from>
    <xdr:to>
      <xdr:col>35</xdr:col>
      <xdr:colOff>266788</xdr:colOff>
      <xdr:row>175</xdr:row>
      <xdr:rowOff>122464</xdr:rowOff>
    </xdr:to>
    <xdr:cxnSp macro="">
      <xdr:nvCxnSpPr>
        <xdr:cNvPr id="18" name="直線コネクタ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CxnSpPr/>
      </xdr:nvCxnSpPr>
      <xdr:spPr>
        <a:xfrm>
          <a:off x="13620066" y="30129389"/>
          <a:ext cx="315097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342216</xdr:colOff>
      <xdr:row>177</xdr:row>
      <xdr:rowOff>117928</xdr:rowOff>
    </xdr:from>
    <xdr:to>
      <xdr:col>35</xdr:col>
      <xdr:colOff>266788</xdr:colOff>
      <xdr:row>177</xdr:row>
      <xdr:rowOff>117928</xdr:rowOff>
    </xdr:to>
    <xdr:cxnSp macro="">
      <xdr:nvCxnSpPr>
        <xdr:cNvPr id="19" name="直線コネクタ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CxnSpPr/>
      </xdr:nvCxnSpPr>
      <xdr:spPr>
        <a:xfrm>
          <a:off x="13620066" y="30467753"/>
          <a:ext cx="315097" cy="0"/>
        </a:xfrm>
        <a:prstGeom prst="line">
          <a:avLst/>
        </a:prstGeom>
        <a:ln>
          <a:solidFill>
            <a:schemeClr val="tx1"/>
          </a:solidFill>
          <a:headEnd type="diamon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342216</xdr:colOff>
      <xdr:row>179</xdr:row>
      <xdr:rowOff>113393</xdr:rowOff>
    </xdr:from>
    <xdr:to>
      <xdr:col>35</xdr:col>
      <xdr:colOff>266788</xdr:colOff>
      <xdr:row>179</xdr:row>
      <xdr:rowOff>113393</xdr:rowOff>
    </xdr:to>
    <xdr:cxnSp macro="">
      <xdr:nvCxnSpPr>
        <xdr:cNvPr id="20" name="直線コネクタ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CxnSpPr/>
      </xdr:nvCxnSpPr>
      <xdr:spPr>
        <a:xfrm>
          <a:off x="13620066" y="30802943"/>
          <a:ext cx="315097" cy="0"/>
        </a:xfrm>
        <a:prstGeom prst="line">
          <a:avLst/>
        </a:prstGeom>
        <a:ln>
          <a:solidFill>
            <a:schemeClr val="tx1"/>
          </a:solidFill>
          <a:head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342216</xdr:colOff>
      <xdr:row>181</xdr:row>
      <xdr:rowOff>108857</xdr:rowOff>
    </xdr:from>
    <xdr:to>
      <xdr:col>35</xdr:col>
      <xdr:colOff>266788</xdr:colOff>
      <xdr:row>181</xdr:row>
      <xdr:rowOff>108857</xdr:rowOff>
    </xdr:to>
    <xdr:cxnSp macro="">
      <xdr:nvCxnSpPr>
        <xdr:cNvPr id="21" name="直線コネクタ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CxnSpPr/>
      </xdr:nvCxnSpPr>
      <xdr:spPr>
        <a:xfrm>
          <a:off x="13620066" y="31138132"/>
          <a:ext cx="315097" cy="0"/>
        </a:xfrm>
        <a:prstGeom prst="line">
          <a:avLst/>
        </a:prstGeom>
        <a:ln>
          <a:solidFill>
            <a:schemeClr val="tx1"/>
          </a:solidFill>
          <a:headEnd type="stealth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157951</xdr:colOff>
      <xdr:row>21</xdr:row>
      <xdr:rowOff>149854</xdr:rowOff>
    </xdr:from>
    <xdr:to>
      <xdr:col>12</xdr:col>
      <xdr:colOff>26454</xdr:colOff>
      <xdr:row>21</xdr:row>
      <xdr:rowOff>156204</xdr:rowOff>
    </xdr:to>
    <xdr:cxnSp macro="">
      <xdr:nvCxnSpPr>
        <xdr:cNvPr id="22" name="カギ線コネクタ 49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CxnSpPr>
          <a:cxnSpLocks/>
          <a:stCxn id="32" idx="1"/>
          <a:endCxn id="31" idx="3"/>
        </xdr:cNvCxnSpPr>
      </xdr:nvCxnSpPr>
      <xdr:spPr>
        <a:xfrm rot="10800000">
          <a:off x="4080010" y="3679707"/>
          <a:ext cx="652915" cy="6350"/>
        </a:xfrm>
        <a:prstGeom prst="bentConnector3">
          <a:avLst>
            <a:gd name="adj1" fmla="val 50000"/>
          </a:avLst>
        </a:prstGeom>
        <a:ln>
          <a:headEnd type="triangle"/>
          <a:tailEnd type="none" w="lg" len="lg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128264</xdr:colOff>
      <xdr:row>21</xdr:row>
      <xdr:rowOff>156203</xdr:rowOff>
    </xdr:from>
    <xdr:to>
      <xdr:col>17</xdr:col>
      <xdr:colOff>201859</xdr:colOff>
      <xdr:row>29</xdr:row>
      <xdr:rowOff>131070</xdr:rowOff>
    </xdr:to>
    <xdr:cxnSp macro="">
      <xdr:nvCxnSpPr>
        <xdr:cNvPr id="23" name="カギ線コネクタ 49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CxnSpPr>
          <a:cxnSpLocks/>
          <a:stCxn id="28" idx="1"/>
          <a:endCxn id="38" idx="3"/>
        </xdr:cNvCxnSpPr>
      </xdr:nvCxnSpPr>
      <xdr:spPr>
        <a:xfrm rot="10800000" flipV="1">
          <a:off x="6011352" y="3686056"/>
          <a:ext cx="858007" cy="1319573"/>
        </a:xfrm>
        <a:prstGeom prst="bentConnector3">
          <a:avLst>
            <a:gd name="adj1" fmla="val 50000"/>
          </a:avLst>
        </a:prstGeom>
        <a:ln>
          <a:headEnd type="none"/>
          <a:tailEnd type="none" w="lg" len="lg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329312</xdr:colOff>
      <xdr:row>26</xdr:row>
      <xdr:rowOff>3772</xdr:rowOff>
    </xdr:from>
    <xdr:to>
      <xdr:col>18</xdr:col>
      <xdr:colOff>335663</xdr:colOff>
      <xdr:row>33</xdr:row>
      <xdr:rowOff>158909</xdr:rowOff>
    </xdr:to>
    <xdr:cxnSp macro="">
      <xdr:nvCxnSpPr>
        <xdr:cNvPr id="25" name="カギ線コネクタ 49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CxnSpPr>
          <a:cxnSpLocks/>
          <a:stCxn id="28" idx="2"/>
          <a:endCxn id="29" idx="0"/>
        </xdr:cNvCxnSpPr>
      </xdr:nvCxnSpPr>
      <xdr:spPr>
        <a:xfrm rot="5400000">
          <a:off x="6726316" y="5036768"/>
          <a:ext cx="1331755" cy="6351"/>
        </a:xfrm>
        <a:prstGeom prst="bentConnector3">
          <a:avLst>
            <a:gd name="adj1" fmla="val 50000"/>
          </a:avLst>
        </a:prstGeom>
        <a:ln>
          <a:headEnd type="none"/>
          <a:tailEnd type="non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7</xdr:col>
      <xdr:colOff>87944</xdr:colOff>
      <xdr:row>10</xdr:row>
      <xdr:rowOff>67708</xdr:rowOff>
    </xdr:from>
    <xdr:ext cx="1312219" cy="759182"/>
    <xdr:sp macro="" textlink="">
      <xdr:nvSpPr>
        <xdr:cNvPr id="26" name="ｹｰｽ管理ID変換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SpPr txBox="1"/>
      </xdr:nvSpPr>
      <xdr:spPr>
        <a:xfrm>
          <a:off x="2833385" y="1748590"/>
          <a:ext cx="1312219" cy="759182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>
          <a:solidFill>
            <a:srgbClr val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ja-JP" altLang="en-US" sz="1000">
              <a:latin typeface="+mn-ea"/>
              <a:ea typeface="+mn-ea"/>
            </a:rPr>
            <a:t>＜ｹｰｽ管理</a:t>
          </a:r>
          <a:r>
            <a:rPr kumimoji="1" lang="en-US" altLang="ja-JP" sz="1000">
              <a:latin typeface="+mn-ea"/>
              <a:ea typeface="+mn-ea"/>
            </a:rPr>
            <a:t>ID</a:t>
          </a:r>
          <a:r>
            <a:rPr kumimoji="1" lang="ja-JP" altLang="en-US" sz="1000">
              <a:latin typeface="+mn-ea"/>
              <a:ea typeface="+mn-ea"/>
            </a:rPr>
            <a:t>変換＞</a:t>
          </a:r>
          <a:endParaRPr kumimoji="1" lang="ja-JP" altLang="en-US" sz="1000" u="words">
            <a:latin typeface="+mn-ea"/>
            <a:ea typeface="+mn-ea"/>
          </a:endParaRPr>
        </a:p>
        <a:p>
          <a:r>
            <a:rPr kumimoji="1" lang="ja-JP" altLang="en-US" sz="1000" u="words">
              <a:latin typeface="+mn-ea"/>
              <a:ea typeface="+mn-ea"/>
            </a:rPr>
            <a:t>ﾃﾞｰﾀ種別</a:t>
          </a:r>
          <a:r>
            <a:rPr kumimoji="1" lang="en-US" altLang="ja-JP" sz="1000" u="words">
              <a:latin typeface="+mn-ea"/>
              <a:ea typeface="+mn-ea"/>
            </a:rPr>
            <a:t>ID</a:t>
          </a:r>
        </a:p>
        <a:p>
          <a:r>
            <a:rPr kumimoji="1" lang="ja-JP" altLang="en-US" sz="1000" u="words">
              <a:latin typeface="+mn-ea"/>
              <a:ea typeface="+mn-ea"/>
            </a:rPr>
            <a:t>ｲﾝｼﾃﾞﾝﾄｺｰﾄﾞ</a:t>
          </a:r>
        </a:p>
        <a:p>
          <a:r>
            <a:rPr kumimoji="1" lang="ja-JP" altLang="en-US" sz="1000">
              <a:latin typeface="+mn-ea"/>
              <a:ea typeface="+mn-ea"/>
            </a:rPr>
            <a:t>ｹｰｽ管理</a:t>
          </a:r>
          <a:r>
            <a:rPr kumimoji="1" lang="en-US" altLang="ja-JP" sz="1000">
              <a:latin typeface="+mn-ea"/>
              <a:ea typeface="+mn-ea"/>
            </a:rPr>
            <a:t>ID</a:t>
          </a:r>
          <a:endParaRPr kumimoji="1" lang="ja-JP" altLang="en-US" sz="1000">
            <a:latin typeface="+mn-ea"/>
            <a:ea typeface="+mn-ea"/>
          </a:endParaRPr>
        </a:p>
      </xdr:txBody>
    </xdr:sp>
    <xdr:clientData/>
  </xdr:oneCellAnchor>
  <xdr:oneCellAnchor>
    <xdr:from>
      <xdr:col>17</xdr:col>
      <xdr:colOff>198683</xdr:colOff>
      <xdr:row>17</xdr:row>
      <xdr:rowOff>137373</xdr:rowOff>
    </xdr:from>
    <xdr:ext cx="1052019" cy="1376018"/>
    <xdr:sp macro="" textlink="">
      <xdr:nvSpPr>
        <xdr:cNvPr id="28" name="ﾘｽｸﾎﾟｲﾝﾄ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SpPr txBox="1"/>
      </xdr:nvSpPr>
      <xdr:spPr>
        <a:xfrm>
          <a:off x="6866183" y="2994873"/>
          <a:ext cx="1052019" cy="1376018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>
          <a:solidFill>
            <a:srgbClr val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＜ﾘｽｸﾎﾟｲﾝﾄ＞</a:t>
          </a:r>
          <a:endParaRPr lang="ja-JP" altLang="ja-JP" sz="1000">
            <a:effectLst/>
          </a:endParaRPr>
        </a:p>
        <a:p>
          <a:r>
            <a:rPr kumimoji="1" lang="ja-JP" altLang="ja-JP" sz="1100" u="words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ｹｰｽ管理</a:t>
          </a:r>
          <a:r>
            <a:rPr kumimoji="1" lang="en-US" altLang="ja-JP" sz="1100" u="words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ID</a:t>
          </a:r>
          <a:endParaRPr lang="ja-JP" altLang="ja-JP" sz="1000">
            <a:effectLst/>
          </a:endParaRPr>
        </a:p>
        <a:p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ﾀｲﾄﾙ</a:t>
          </a:r>
          <a:endParaRPr lang="ja-JP" altLang="ja-JP" sz="1000">
            <a:effectLst/>
          </a:endParaRPr>
        </a:p>
        <a:p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本文</a:t>
          </a:r>
          <a:endParaRPr lang="ja-JP" altLang="ja-JP" sz="1000">
            <a:effectLst/>
          </a:endParaRPr>
        </a:p>
        <a:p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説明変数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a</a:t>
          </a:r>
          <a:endParaRPr lang="ja-JP" altLang="ja-JP" sz="1000">
            <a:effectLst/>
          </a:endParaRPr>
        </a:p>
        <a:p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説明変数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z</a:t>
          </a:r>
          <a:endParaRPr lang="ja-JP" altLang="ja-JP" sz="1000">
            <a:effectLst/>
          </a:endParaRPr>
        </a:p>
        <a:p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ﾘｽｸﾎﾟｲﾝﾄ</a:t>
          </a:r>
          <a:endParaRPr lang="ja-JP" altLang="ja-JP" sz="1000">
            <a:effectLst/>
          </a:endParaRPr>
        </a:p>
      </xdr:txBody>
    </xdr:sp>
    <xdr:clientData/>
  </xdr:oneCellAnchor>
  <xdr:oneCellAnchor>
    <xdr:from>
      <xdr:col>17</xdr:col>
      <xdr:colOff>264533</xdr:colOff>
      <xdr:row>33</xdr:row>
      <xdr:rowOff>155734</xdr:rowOff>
    </xdr:from>
    <xdr:ext cx="913968" cy="1259319"/>
    <xdr:sp macro="" textlink="">
      <xdr:nvSpPr>
        <xdr:cNvPr id="29" name="経営ﾘｽｸ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SpPr txBox="1"/>
      </xdr:nvSpPr>
      <xdr:spPr>
        <a:xfrm>
          <a:off x="6932033" y="5702646"/>
          <a:ext cx="913968" cy="1259319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>
          <a:solidFill>
            <a:srgbClr val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ja-JP" altLang="en-US" sz="1000">
              <a:latin typeface="+mn-ea"/>
              <a:ea typeface="+mn-ea"/>
            </a:rPr>
            <a:t>＜経営ﾘｽｸ＞</a:t>
          </a:r>
          <a:endParaRPr kumimoji="1" lang="ja-JP" altLang="en-US" sz="1000" u="words">
            <a:latin typeface="+mn-ea"/>
            <a:ea typeface="+mn-ea"/>
          </a:endParaRPr>
        </a:p>
        <a:p>
          <a:r>
            <a:rPr kumimoji="1" lang="ja-JP" altLang="en-US" sz="1000" u="words">
              <a:latin typeface="+mn-ea"/>
              <a:ea typeface="+mn-ea"/>
            </a:rPr>
            <a:t>ｹｰｽ管理</a:t>
          </a:r>
          <a:r>
            <a:rPr kumimoji="1" lang="en-US" altLang="ja-JP" sz="1000" u="words">
              <a:latin typeface="+mn-ea"/>
              <a:ea typeface="+mn-ea"/>
            </a:rPr>
            <a:t>ID</a:t>
          </a:r>
        </a:p>
        <a:p>
          <a:r>
            <a:rPr kumimoji="1" lang="ja-JP" altLang="en-US" sz="1000">
              <a:latin typeface="+mn-ea"/>
              <a:ea typeface="+mn-ea"/>
            </a:rPr>
            <a:t>ﾘｽｸｽｺｱ</a:t>
          </a:r>
        </a:p>
        <a:p>
          <a:r>
            <a:rPr kumimoji="1" lang="ja-JP" altLang="en-US" sz="1000">
              <a:latin typeface="+mn-ea"/>
              <a:ea typeface="+mn-ea"/>
            </a:rPr>
            <a:t>いいね！</a:t>
          </a:r>
        </a:p>
        <a:p>
          <a:r>
            <a:rPr kumimoji="1" lang="ja-JP" altLang="en-US" sz="1000">
              <a:latin typeface="+mn-ea"/>
              <a:ea typeface="+mn-ea"/>
            </a:rPr>
            <a:t>いらない！</a:t>
          </a:r>
        </a:p>
        <a:p>
          <a:r>
            <a:rPr kumimoji="1" lang="ja-JP" altLang="en-US" sz="1000">
              <a:latin typeface="+mn-ea"/>
              <a:ea typeface="+mn-ea"/>
            </a:rPr>
            <a:t>関心度</a:t>
          </a:r>
        </a:p>
        <a:p>
          <a:r>
            <a:rPr kumimoji="1" lang="ja-JP" altLang="en-US" sz="1000">
              <a:latin typeface="+mn-ea"/>
              <a:ea typeface="+mn-ea"/>
            </a:rPr>
            <a:t>経営ﾘｽｸ</a:t>
          </a:r>
        </a:p>
      </xdr:txBody>
    </xdr:sp>
    <xdr:clientData/>
  </xdr:oneCellAnchor>
  <xdr:oneCellAnchor>
    <xdr:from>
      <xdr:col>7</xdr:col>
      <xdr:colOff>153539</xdr:colOff>
      <xdr:row>19</xdr:row>
      <xdr:rowOff>109615</xdr:rowOff>
    </xdr:from>
    <xdr:ext cx="1181029" cy="759182"/>
    <xdr:sp macro="" textlink="">
      <xdr:nvSpPr>
        <xdr:cNvPr id="31" name="説明定数ﾏｽﾀ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SpPr txBox="1"/>
      </xdr:nvSpPr>
      <xdr:spPr>
        <a:xfrm>
          <a:off x="2898980" y="3303291"/>
          <a:ext cx="1181029" cy="759182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>
          <a:solidFill>
            <a:srgbClr val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ja-JP" altLang="en-US" sz="1000">
              <a:latin typeface="+mn-ea"/>
              <a:ea typeface="+mn-ea"/>
            </a:rPr>
            <a:t>＜説明定数ﾏｽﾀ＞</a:t>
          </a:r>
          <a:endParaRPr kumimoji="1" lang="ja-JP" altLang="en-US" sz="1000" u="words">
            <a:latin typeface="+mn-ea"/>
            <a:ea typeface="+mn-ea"/>
          </a:endParaRPr>
        </a:p>
        <a:p>
          <a:r>
            <a:rPr kumimoji="1" lang="ja-JP" altLang="en-US" sz="1000" u="words">
              <a:latin typeface="+mn-ea"/>
              <a:ea typeface="+mn-ea"/>
            </a:rPr>
            <a:t>算出ﾛｼﾞｯｸ</a:t>
          </a:r>
          <a:r>
            <a:rPr kumimoji="1" lang="en-US" altLang="ja-JP" sz="1000" u="words">
              <a:latin typeface="+mn-ea"/>
              <a:ea typeface="+mn-ea"/>
            </a:rPr>
            <a:t>ID</a:t>
          </a:r>
        </a:p>
        <a:p>
          <a:r>
            <a:rPr kumimoji="1" lang="ja-JP" altLang="en-US" sz="1000">
              <a:latin typeface="+mn-ea"/>
              <a:ea typeface="+mn-ea"/>
            </a:rPr>
            <a:t>説明定数</a:t>
          </a:r>
          <a:r>
            <a:rPr kumimoji="1" lang="en-US" altLang="ja-JP" sz="1000">
              <a:latin typeface="+mn-ea"/>
              <a:ea typeface="+mn-ea"/>
            </a:rPr>
            <a:t>A</a:t>
          </a:r>
        </a:p>
        <a:p>
          <a:r>
            <a:rPr kumimoji="1" lang="ja-JP" altLang="en-US" sz="1000">
              <a:latin typeface="+mn-ea"/>
              <a:ea typeface="+mn-ea"/>
            </a:rPr>
            <a:t>説明定数</a:t>
          </a:r>
          <a:r>
            <a:rPr kumimoji="1" lang="en-US" altLang="ja-JP" sz="1000">
              <a:latin typeface="+mn-ea"/>
              <a:ea typeface="+mn-ea"/>
            </a:rPr>
            <a:t>Z</a:t>
          </a:r>
          <a:endParaRPr kumimoji="1" lang="ja-JP" altLang="en-US" sz="1000">
            <a:latin typeface="+mn-ea"/>
            <a:ea typeface="+mn-ea"/>
          </a:endParaRPr>
        </a:p>
      </xdr:txBody>
    </xdr:sp>
    <xdr:clientData/>
  </xdr:oneCellAnchor>
  <xdr:oneCellAnchor>
    <xdr:from>
      <xdr:col>12</xdr:col>
      <xdr:colOff>29628</xdr:colOff>
      <xdr:row>18</xdr:row>
      <xdr:rowOff>102655</xdr:rowOff>
    </xdr:from>
    <xdr:ext cx="1270091" cy="1109278"/>
    <xdr:sp macro="" textlink="">
      <xdr:nvSpPr>
        <xdr:cNvPr id="32" name="教師ﾃﾞｰﾀ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SpPr txBox="1"/>
      </xdr:nvSpPr>
      <xdr:spPr>
        <a:xfrm>
          <a:off x="4736099" y="3128243"/>
          <a:ext cx="1270091" cy="1109278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>
          <a:solidFill>
            <a:srgbClr val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ja-JP" altLang="en-US" sz="1000">
              <a:latin typeface="+mn-ea"/>
              <a:ea typeface="+mn-ea"/>
            </a:rPr>
            <a:t>＜教師ﾃﾞｰﾀ＞</a:t>
          </a:r>
          <a:endParaRPr kumimoji="1" lang="ja-JP" altLang="en-US" sz="1000" u="words">
            <a:latin typeface="+mn-ea"/>
            <a:ea typeface="+mn-ea"/>
          </a:endParaRPr>
        </a:p>
        <a:p>
          <a:r>
            <a:rPr kumimoji="1" lang="ja-JP" altLang="en-US" sz="1000" u="words">
              <a:latin typeface="+mn-ea"/>
              <a:ea typeface="+mn-ea"/>
            </a:rPr>
            <a:t>ｹｰｽ管理</a:t>
          </a:r>
          <a:r>
            <a:rPr kumimoji="1" lang="en-US" altLang="ja-JP" sz="1000" u="words">
              <a:latin typeface="+mn-ea"/>
              <a:ea typeface="+mn-ea"/>
            </a:rPr>
            <a:t>ID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ja-JP" sz="1000" b="0" u="none">
              <a:solidFill>
                <a:schemeClr val="tx1"/>
              </a:solidFill>
              <a:effectLst/>
              <a:latin typeface="+mn-ea"/>
              <a:ea typeface="+mn-ea"/>
              <a:cs typeface="+mn-cs"/>
            </a:rPr>
            <a:t>算出ﾛｼﾞｯｸ</a:t>
          </a:r>
          <a:r>
            <a:rPr kumimoji="1" lang="en-US" altLang="ja-JP" sz="1000" b="0" u="none">
              <a:solidFill>
                <a:schemeClr val="tx1"/>
              </a:solidFill>
              <a:effectLst/>
              <a:latin typeface="+mn-ea"/>
              <a:ea typeface="+mn-ea"/>
              <a:cs typeface="+mn-cs"/>
            </a:rPr>
            <a:t>ID</a:t>
          </a:r>
          <a:endParaRPr lang="ja-JP" altLang="ja-JP" sz="1000" b="0" u="none">
            <a:effectLst/>
            <a:latin typeface="+mn-ea"/>
            <a:ea typeface="+mn-ea"/>
          </a:endParaRPr>
        </a:p>
        <a:p>
          <a:r>
            <a:rPr kumimoji="1" lang="ja-JP" altLang="en-US" sz="1000">
              <a:latin typeface="+mn-ea"/>
              <a:ea typeface="+mn-ea"/>
            </a:rPr>
            <a:t>説明変数</a:t>
          </a:r>
          <a:r>
            <a:rPr kumimoji="1" lang="en-US" altLang="ja-JP" sz="1000">
              <a:latin typeface="+mn-ea"/>
              <a:ea typeface="+mn-ea"/>
            </a:rPr>
            <a:t>a</a:t>
          </a:r>
        </a:p>
        <a:p>
          <a:r>
            <a:rPr kumimoji="1" lang="ja-JP" altLang="en-US" sz="1000">
              <a:latin typeface="+mn-ea"/>
              <a:ea typeface="+mn-ea"/>
            </a:rPr>
            <a:t>説明変数</a:t>
          </a:r>
          <a:r>
            <a:rPr kumimoji="1" lang="en-US" altLang="ja-JP" sz="1000">
              <a:latin typeface="+mn-ea"/>
              <a:ea typeface="+mn-ea"/>
            </a:rPr>
            <a:t>z</a:t>
          </a:r>
        </a:p>
        <a:p>
          <a:r>
            <a:rPr kumimoji="1" lang="ja-JP" altLang="en-US" sz="1000">
              <a:latin typeface="+mn-ea"/>
              <a:ea typeface="+mn-ea"/>
            </a:rPr>
            <a:t>手動設定出ﾘｽｸｽｺｱ</a:t>
          </a:r>
        </a:p>
      </xdr:txBody>
    </xdr:sp>
    <xdr:clientData/>
  </xdr:oneCellAnchor>
  <xdr:twoCellAnchor>
    <xdr:from>
      <xdr:col>8</xdr:col>
      <xdr:colOff>348673</xdr:colOff>
      <xdr:row>10</xdr:row>
      <xdr:rowOff>64532</xdr:rowOff>
    </xdr:from>
    <xdr:to>
      <xdr:col>18</xdr:col>
      <xdr:colOff>335662</xdr:colOff>
      <xdr:row>17</xdr:row>
      <xdr:rowOff>140547</xdr:rowOff>
    </xdr:to>
    <xdr:cxnSp macro="">
      <xdr:nvCxnSpPr>
        <xdr:cNvPr id="34" name="カギ線コネクタ 49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CxnSpPr>
          <a:cxnSpLocks/>
          <a:stCxn id="26" idx="0"/>
          <a:endCxn id="28" idx="0"/>
        </xdr:cNvCxnSpPr>
      </xdr:nvCxnSpPr>
      <xdr:spPr>
        <a:xfrm rot="16200000" flipH="1">
          <a:off x="4814527" y="417207"/>
          <a:ext cx="1252633" cy="3909048"/>
        </a:xfrm>
        <a:prstGeom prst="bentConnector3">
          <a:avLst>
            <a:gd name="adj1" fmla="val -18250"/>
          </a:avLst>
        </a:prstGeom>
        <a:ln>
          <a:headEnd type="none"/>
          <a:tailEnd type="none" w="lg" len="lg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349165</xdr:colOff>
      <xdr:row>12</xdr:row>
      <xdr:rowOff>111122</xdr:rowOff>
    </xdr:from>
    <xdr:to>
      <xdr:col>7</xdr:col>
      <xdr:colOff>87944</xdr:colOff>
      <xdr:row>12</xdr:row>
      <xdr:rowOff>111123</xdr:rowOff>
    </xdr:to>
    <xdr:cxnSp macro="">
      <xdr:nvCxnSpPr>
        <xdr:cNvPr id="35" name="カギ線コネクタ 49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CxnSpPr>
          <a:cxnSpLocks/>
          <a:stCxn id="17" idx="3"/>
          <a:endCxn id="26" idx="1"/>
        </xdr:cNvCxnSpPr>
      </xdr:nvCxnSpPr>
      <xdr:spPr>
        <a:xfrm flipV="1">
          <a:off x="2478283" y="2128181"/>
          <a:ext cx="590426" cy="1"/>
        </a:xfrm>
        <a:prstGeom prst="bentConnector3">
          <a:avLst>
            <a:gd name="adj1" fmla="val 50000"/>
          </a:avLst>
        </a:prstGeom>
        <a:ln>
          <a:headEnd type="none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2</xdr:col>
      <xdr:colOff>86311</xdr:colOff>
      <xdr:row>19</xdr:row>
      <xdr:rowOff>109615</xdr:rowOff>
    </xdr:from>
    <xdr:ext cx="1463542" cy="759182"/>
    <xdr:sp macro="" textlink="">
      <xdr:nvSpPr>
        <xdr:cNvPr id="37" name="業務ｽﾍﾟｼｬﾘｽﾄﾏｽﾀ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SpPr txBox="1"/>
      </xdr:nvSpPr>
      <xdr:spPr>
        <a:xfrm>
          <a:off x="870723" y="3303291"/>
          <a:ext cx="1463542" cy="759182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>
          <a:solidFill>
            <a:srgbClr val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ja-JP" altLang="en-US" sz="1000">
              <a:latin typeface="+mn-ea"/>
              <a:ea typeface="+mn-ea"/>
            </a:rPr>
            <a:t>＜業務ｽﾍﾟｼｬﾘｽﾄﾏｽﾀ＞</a:t>
          </a:r>
          <a:endParaRPr kumimoji="1" lang="ja-JP" altLang="en-US" sz="1000" u="words">
            <a:latin typeface="+mn-ea"/>
            <a:ea typeface="+mn-ea"/>
          </a:endParaRPr>
        </a:p>
        <a:p>
          <a:r>
            <a:rPr kumimoji="1" lang="ja-JP" altLang="en-US" sz="1000" u="words">
              <a:latin typeface="+mn-ea"/>
              <a:ea typeface="+mn-ea"/>
            </a:rPr>
            <a:t>ﾃﾞｰﾀ種別</a:t>
          </a:r>
          <a:r>
            <a:rPr kumimoji="1" lang="en-US" altLang="ja-JP" sz="1000" u="words">
              <a:latin typeface="+mn-ea"/>
              <a:ea typeface="+mn-ea"/>
            </a:rPr>
            <a:t>ID</a:t>
          </a:r>
        </a:p>
        <a:p>
          <a:r>
            <a:rPr kumimoji="1" lang="ja-JP" altLang="en-US" sz="1000" u="words">
              <a:latin typeface="+mn-ea"/>
              <a:ea typeface="+mn-ea"/>
            </a:rPr>
            <a:t>業務ｽﾍﾟｼｬﾘｽﾄ</a:t>
          </a:r>
          <a:r>
            <a:rPr kumimoji="1" lang="en-US" altLang="ja-JP" sz="1000" u="words">
              <a:latin typeface="+mn-ea"/>
              <a:ea typeface="+mn-ea"/>
            </a:rPr>
            <a:t>ID</a:t>
          </a:r>
        </a:p>
        <a:p>
          <a:r>
            <a:rPr kumimoji="1" lang="ja-JP" altLang="en-US" sz="1000">
              <a:latin typeface="+mn-ea"/>
              <a:ea typeface="+mn-ea"/>
            </a:rPr>
            <a:t>業務ｽﾍﾟｼｬﾘｽﾄ名称</a:t>
          </a:r>
        </a:p>
      </xdr:txBody>
    </xdr:sp>
    <xdr:clientData/>
  </xdr:oneCellAnchor>
  <xdr:oneCellAnchor>
    <xdr:from>
      <xdr:col>12</xdr:col>
      <xdr:colOff>18117</xdr:colOff>
      <xdr:row>27</xdr:row>
      <xdr:rowOff>84482</xdr:rowOff>
    </xdr:from>
    <xdr:ext cx="1286763" cy="759182"/>
    <xdr:sp macro="" textlink="">
      <xdr:nvSpPr>
        <xdr:cNvPr id="38" name="ｲﾝｼﾃﾞﾝﾄ緊急度">
          <a:extLst>
            <a:ext uri="{FF2B5EF4-FFF2-40B4-BE49-F238E27FC236}">
              <a16:creationId xmlns:a16="http://schemas.microsoft.com/office/drawing/2014/main" id="{00000000-0008-0000-0200-000026000000}"/>
            </a:ext>
          </a:extLst>
        </xdr:cNvPr>
        <xdr:cNvSpPr txBox="1"/>
      </xdr:nvSpPr>
      <xdr:spPr>
        <a:xfrm>
          <a:off x="4724588" y="4622864"/>
          <a:ext cx="1286763" cy="759182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>
          <a:solidFill>
            <a:srgbClr val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ja-JP" altLang="en-US" sz="1000">
              <a:latin typeface="+mn-ea"/>
              <a:ea typeface="+mn-ea"/>
            </a:rPr>
            <a:t>＜ｲﾝｼﾃﾞﾝﾄ緊急度＞</a:t>
          </a:r>
          <a:endParaRPr kumimoji="1" lang="ja-JP" altLang="en-US" sz="1000" u="words">
            <a:latin typeface="+mn-ea"/>
            <a:ea typeface="+mn-ea"/>
          </a:endParaRPr>
        </a:p>
        <a:p>
          <a:r>
            <a:rPr kumimoji="1" lang="ja-JP" altLang="en-US" sz="1000" u="words">
              <a:latin typeface="+mn-ea"/>
              <a:ea typeface="+mn-ea"/>
            </a:rPr>
            <a:t>ｹｰｽ管理</a:t>
          </a:r>
          <a:r>
            <a:rPr kumimoji="1" lang="en-US" altLang="ja-JP" sz="1000" u="words">
              <a:latin typeface="+mn-ea"/>
              <a:ea typeface="+mn-ea"/>
            </a:rPr>
            <a:t>ID</a:t>
          </a:r>
        </a:p>
        <a:p>
          <a:r>
            <a:rPr kumimoji="1" lang="ja-JP" altLang="en-US" sz="1000">
              <a:latin typeface="+mn-ea"/>
              <a:ea typeface="+mn-ea"/>
            </a:rPr>
            <a:t>起票日時</a:t>
          </a:r>
        </a:p>
        <a:p>
          <a:r>
            <a:rPr kumimoji="1" lang="ja-JP" altLang="en-US" sz="1000">
              <a:latin typeface="+mn-ea"/>
              <a:ea typeface="+mn-ea"/>
            </a:rPr>
            <a:t>解決日時</a:t>
          </a:r>
        </a:p>
      </xdr:txBody>
    </xdr:sp>
    <xdr:clientData/>
  </xdr:oneCellAnchor>
  <xdr:oneCellAnchor>
    <xdr:from>
      <xdr:col>7</xdr:col>
      <xdr:colOff>87687</xdr:colOff>
      <xdr:row>26</xdr:row>
      <xdr:rowOff>150164</xdr:rowOff>
    </xdr:from>
    <xdr:ext cx="1312732" cy="925894"/>
    <xdr:sp macro="" textlink="">
      <xdr:nvSpPr>
        <xdr:cNvPr id="39" name="ｴｽｶ緊急度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SpPr txBox="1"/>
      </xdr:nvSpPr>
      <xdr:spPr>
        <a:xfrm>
          <a:off x="2833128" y="4520458"/>
          <a:ext cx="1312732" cy="925894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>
          <a:solidFill>
            <a:srgbClr val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ja-JP" altLang="en-US" sz="1000">
              <a:latin typeface="+mn-ea"/>
              <a:ea typeface="+mn-ea"/>
            </a:rPr>
            <a:t>＜ｴｽｶ緊急度＞</a:t>
          </a:r>
          <a:endParaRPr kumimoji="1" lang="ja-JP" altLang="en-US" sz="1000" u="words">
            <a:latin typeface="+mn-ea"/>
            <a:ea typeface="+mn-ea"/>
          </a:endParaRPr>
        </a:p>
        <a:p>
          <a:r>
            <a:rPr kumimoji="1" lang="ja-JP" altLang="en-US" sz="1000" u="words">
              <a:latin typeface="+mn-ea"/>
              <a:ea typeface="+mn-ea"/>
            </a:rPr>
            <a:t>ｹｰｽ管理</a:t>
          </a:r>
          <a:r>
            <a:rPr kumimoji="1" lang="en-US" altLang="ja-JP" sz="1000" u="words">
              <a:latin typeface="+mn-ea"/>
              <a:ea typeface="+mn-ea"/>
            </a:rPr>
            <a:t>ID</a:t>
          </a:r>
        </a:p>
        <a:p>
          <a:r>
            <a:rPr kumimoji="1" lang="ja-JP" altLang="en-US" sz="1000" u="words">
              <a:latin typeface="+mn-ea"/>
              <a:ea typeface="+mn-ea"/>
            </a:rPr>
            <a:t>ｴｽｶ先</a:t>
          </a:r>
          <a:r>
            <a:rPr kumimoji="1" lang="en-US" altLang="ja-JP" sz="1000" u="words">
              <a:latin typeface="+mn-ea"/>
              <a:ea typeface="+mn-ea"/>
            </a:rPr>
            <a:t>ID</a:t>
          </a:r>
        </a:p>
        <a:p>
          <a:r>
            <a:rPr kumimoji="1" lang="ja-JP" altLang="en-US" sz="1000">
              <a:latin typeface="+mn-ea"/>
              <a:ea typeface="+mn-ea"/>
            </a:rPr>
            <a:t>受け取り日時</a:t>
          </a:r>
        </a:p>
        <a:p>
          <a:r>
            <a:rPr kumimoji="1" lang="ja-JP" altLang="en-US" sz="1000">
              <a:latin typeface="+mn-ea"/>
              <a:ea typeface="+mn-ea"/>
            </a:rPr>
            <a:t>差戻</a:t>
          </a:r>
          <a:r>
            <a:rPr kumimoji="1" lang="en-US" altLang="ja-JP" sz="1000">
              <a:latin typeface="+mn-ea"/>
              <a:ea typeface="+mn-ea"/>
            </a:rPr>
            <a:t>/</a:t>
          </a:r>
          <a:r>
            <a:rPr kumimoji="1" lang="ja-JP" altLang="en-US" sz="1000">
              <a:latin typeface="+mn-ea"/>
              <a:ea typeface="+mn-ea"/>
            </a:rPr>
            <a:t>返却</a:t>
          </a:r>
          <a:r>
            <a:rPr kumimoji="1" lang="en-US" altLang="ja-JP" sz="1000">
              <a:latin typeface="+mn-ea"/>
              <a:ea typeface="+mn-ea"/>
            </a:rPr>
            <a:t>/</a:t>
          </a:r>
          <a:r>
            <a:rPr kumimoji="1" lang="ja-JP" altLang="en-US" sz="1000">
              <a:latin typeface="+mn-ea"/>
              <a:ea typeface="+mn-ea"/>
            </a:rPr>
            <a:t>ｴｽｶ日時</a:t>
          </a:r>
        </a:p>
      </xdr:txBody>
    </xdr:sp>
    <xdr:clientData/>
  </xdr:oneCellAnchor>
  <xdr:oneCellAnchor>
    <xdr:from>
      <xdr:col>11</xdr:col>
      <xdr:colOff>293687</xdr:colOff>
      <xdr:row>34</xdr:row>
      <xdr:rowOff>138483</xdr:rowOff>
    </xdr:from>
    <xdr:ext cx="1513684" cy="925894"/>
    <xdr:sp macro="" textlink="">
      <xdr:nvSpPr>
        <xdr:cNvPr id="40" name="ｲﾝｼﾃﾞﾝﾄ緊急度ﾏｽﾀ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SpPr txBox="1"/>
      </xdr:nvSpPr>
      <xdr:spPr>
        <a:xfrm>
          <a:off x="4607952" y="5853483"/>
          <a:ext cx="1513684" cy="925894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>
          <a:solidFill>
            <a:srgbClr val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ja-JP" altLang="en-US" sz="1000">
              <a:latin typeface="+mn-ea"/>
              <a:ea typeface="+mn-ea"/>
            </a:rPr>
            <a:t>＜ｲﾝｼﾃﾞﾝﾄ緊急度ﾏｽﾀ＞</a:t>
          </a:r>
          <a:endParaRPr kumimoji="1" lang="ja-JP" altLang="en-US" sz="1000" u="words">
            <a:latin typeface="+mn-ea"/>
            <a:ea typeface="+mn-ea"/>
          </a:endParaRPr>
        </a:p>
        <a:p>
          <a:r>
            <a:rPr kumimoji="1" lang="ja-JP" altLang="en-US" sz="1000" u="words">
              <a:latin typeface="+mn-ea"/>
              <a:ea typeface="+mn-ea"/>
            </a:rPr>
            <a:t>算出ﾛｼﾞｯｸ</a:t>
          </a:r>
          <a:r>
            <a:rPr kumimoji="1" lang="en-US" altLang="ja-JP" sz="1000" u="words">
              <a:latin typeface="+mn-ea"/>
              <a:ea typeface="+mn-ea"/>
            </a:rPr>
            <a:t>ID</a:t>
          </a:r>
        </a:p>
        <a:p>
          <a:r>
            <a:rPr kumimoji="1" lang="ja-JP" altLang="en-US" sz="1000">
              <a:latin typeface="+mn-ea"/>
              <a:ea typeface="+mn-ea"/>
            </a:rPr>
            <a:t>起票からの期限</a:t>
          </a:r>
          <a:r>
            <a:rPr kumimoji="1" lang="en-US" altLang="ja-JP" sz="1000">
              <a:latin typeface="+mn-ea"/>
              <a:ea typeface="+mn-ea"/>
            </a:rPr>
            <a:t>1(hr)</a:t>
          </a:r>
        </a:p>
        <a:p>
          <a:r>
            <a:rPr kumimoji="1" lang="ja-JP" altLang="en-US" sz="1000">
              <a:latin typeface="+mn-ea"/>
              <a:ea typeface="+mn-ea"/>
            </a:rPr>
            <a:t>起票からの期限</a:t>
          </a:r>
          <a:r>
            <a:rPr kumimoji="1" lang="en-US" altLang="ja-JP" sz="1000">
              <a:latin typeface="+mn-ea"/>
              <a:ea typeface="+mn-ea"/>
            </a:rPr>
            <a:t>2(hr)</a:t>
          </a:r>
        </a:p>
        <a:p>
          <a:r>
            <a:rPr kumimoji="1" lang="ja-JP" altLang="en-US" sz="1000">
              <a:latin typeface="+mn-ea"/>
              <a:ea typeface="+mn-ea"/>
            </a:rPr>
            <a:t>起票からの期限</a:t>
          </a:r>
          <a:r>
            <a:rPr kumimoji="1" lang="en-US" altLang="ja-JP" sz="1000">
              <a:latin typeface="+mn-ea"/>
              <a:ea typeface="+mn-ea"/>
            </a:rPr>
            <a:t>3(hr)</a:t>
          </a:r>
          <a:endParaRPr kumimoji="1" lang="ja-JP" altLang="en-US" sz="1000">
            <a:latin typeface="+mn-ea"/>
            <a:ea typeface="+mn-ea"/>
          </a:endParaRPr>
        </a:p>
      </xdr:txBody>
    </xdr:sp>
    <xdr:clientData/>
  </xdr:oneCellAnchor>
  <xdr:oneCellAnchor>
    <xdr:from>
      <xdr:col>6</xdr:col>
      <xdr:colOff>304368</xdr:colOff>
      <xdr:row>34</xdr:row>
      <xdr:rowOff>45602</xdr:rowOff>
    </xdr:from>
    <xdr:ext cx="1663469" cy="1326004"/>
    <xdr:sp macro="" textlink="">
      <xdr:nvSpPr>
        <xdr:cNvPr id="41" name="ｴｽｶ緊急度ﾏｽﾀ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SpPr txBox="1"/>
      </xdr:nvSpPr>
      <xdr:spPr>
        <a:xfrm>
          <a:off x="2657603" y="5760602"/>
          <a:ext cx="1663469" cy="1326004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>
          <a:solidFill>
            <a:srgbClr val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ja-JP" altLang="en-US" sz="1000">
              <a:latin typeface="+mn-ea"/>
              <a:ea typeface="+mn-ea"/>
            </a:rPr>
            <a:t>＜ｴｽｶ緊急度ﾏｽﾀ＞</a:t>
          </a:r>
          <a:endParaRPr kumimoji="1" lang="ja-JP" altLang="en-US" sz="1000" u="words">
            <a:latin typeface="+mn-ea"/>
            <a:ea typeface="+mn-ea"/>
          </a:endParaRPr>
        </a:p>
        <a:p>
          <a:r>
            <a:rPr kumimoji="1" lang="ja-JP" altLang="en-US" sz="1000" u="words">
              <a:latin typeface="+mn-ea"/>
              <a:ea typeface="+mn-ea"/>
            </a:rPr>
            <a:t>算出ﾛｼﾞｯｸ</a:t>
          </a:r>
          <a:r>
            <a:rPr kumimoji="1" lang="en-US" altLang="ja-JP" sz="1000" u="words">
              <a:latin typeface="+mn-ea"/>
              <a:ea typeface="+mn-ea"/>
            </a:rPr>
            <a:t>ID</a:t>
          </a:r>
        </a:p>
        <a:p>
          <a:r>
            <a:rPr kumimoji="1" lang="ja-JP" altLang="en-US" sz="1000" u="words">
              <a:latin typeface="+mn-ea"/>
              <a:ea typeface="+mn-ea"/>
            </a:rPr>
            <a:t>ｴｽｶ先</a:t>
          </a:r>
          <a:r>
            <a:rPr kumimoji="1" lang="en-US" altLang="ja-JP" sz="1000" u="words">
              <a:latin typeface="+mn-ea"/>
              <a:ea typeface="+mn-ea"/>
            </a:rPr>
            <a:t>ID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ｴｽｶ先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ID</a:t>
          </a:r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先名称</a:t>
          </a:r>
          <a:endParaRPr lang="ja-JP" altLang="ja-JP">
            <a:effectLst/>
          </a:endParaRPr>
        </a:p>
        <a:p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受け取りからの期限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1(hr)</a:t>
          </a:r>
          <a:endParaRPr lang="ja-JP" altLang="ja-JP" sz="1000">
            <a:effectLst/>
          </a:endParaRPr>
        </a:p>
        <a:p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受け取りからの期限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2(hr)</a:t>
          </a:r>
          <a:endParaRPr lang="ja-JP" altLang="ja-JP" sz="1000">
            <a:effectLst/>
          </a:endParaRPr>
        </a:p>
        <a:p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受け取りからの期限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3(hr)</a:t>
          </a:r>
          <a:endParaRPr kumimoji="1" lang="ja-JP" altLang="en-US" sz="1000">
            <a:latin typeface="+mn-ea"/>
            <a:ea typeface="+mn-ea"/>
          </a:endParaRPr>
        </a:p>
      </xdr:txBody>
    </xdr:sp>
    <xdr:clientData/>
  </xdr:oneCellAnchor>
  <xdr:twoCellAnchor>
    <xdr:from>
      <xdr:col>10</xdr:col>
      <xdr:colOff>220627</xdr:colOff>
      <xdr:row>29</xdr:row>
      <xdr:rowOff>108847</xdr:rowOff>
    </xdr:from>
    <xdr:to>
      <xdr:col>12</xdr:col>
      <xdr:colOff>18118</xdr:colOff>
      <xdr:row>29</xdr:row>
      <xdr:rowOff>131072</xdr:rowOff>
    </xdr:to>
    <xdr:cxnSp macro="">
      <xdr:nvCxnSpPr>
        <xdr:cNvPr id="42" name="カギ線コネクタ 49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CxnSpPr>
          <a:cxnSpLocks/>
          <a:stCxn id="38" idx="1"/>
          <a:endCxn id="39" idx="3"/>
        </xdr:cNvCxnSpPr>
      </xdr:nvCxnSpPr>
      <xdr:spPr>
        <a:xfrm rot="10800000">
          <a:off x="4142686" y="4983406"/>
          <a:ext cx="581903" cy="22225"/>
        </a:xfrm>
        <a:prstGeom prst="bentConnector3">
          <a:avLst>
            <a:gd name="adj1" fmla="val 50000"/>
          </a:avLst>
        </a:prstGeom>
        <a:ln>
          <a:headEnd type="none"/>
          <a:tailEnd type="arrow" w="lg" len="lg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269294</xdr:colOff>
      <xdr:row>32</xdr:row>
      <xdr:rowOff>6397</xdr:rowOff>
    </xdr:from>
    <xdr:to>
      <xdr:col>13</xdr:col>
      <xdr:colOff>269295</xdr:colOff>
      <xdr:row>34</xdr:row>
      <xdr:rowOff>141658</xdr:rowOff>
    </xdr:to>
    <xdr:cxnSp macro="">
      <xdr:nvCxnSpPr>
        <xdr:cNvPr id="43" name="カギ線コネクタ 49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CxnSpPr>
          <a:cxnSpLocks/>
          <a:stCxn id="38" idx="2"/>
          <a:endCxn id="40" idx="0"/>
        </xdr:cNvCxnSpPr>
      </xdr:nvCxnSpPr>
      <xdr:spPr>
        <a:xfrm rot="5400000">
          <a:off x="5132252" y="5620939"/>
          <a:ext cx="471437" cy="1"/>
        </a:xfrm>
        <a:prstGeom prst="bentConnector3">
          <a:avLst>
            <a:gd name="adj1" fmla="val 50000"/>
          </a:avLst>
        </a:prstGeom>
        <a:ln>
          <a:headEnd type="arrow"/>
          <a:tailEnd type="none" w="lg" len="lg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348672</xdr:colOff>
      <xdr:row>32</xdr:row>
      <xdr:rowOff>67527</xdr:rowOff>
    </xdr:from>
    <xdr:to>
      <xdr:col>8</xdr:col>
      <xdr:colOff>351691</xdr:colOff>
      <xdr:row>34</xdr:row>
      <xdr:rowOff>48776</xdr:rowOff>
    </xdr:to>
    <xdr:cxnSp macro="">
      <xdr:nvCxnSpPr>
        <xdr:cNvPr id="44" name="カギ線コネクタ 49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CxnSpPr>
          <a:cxnSpLocks/>
          <a:stCxn id="39" idx="2"/>
          <a:endCxn id="41" idx="0"/>
        </xdr:cNvCxnSpPr>
      </xdr:nvCxnSpPr>
      <xdr:spPr>
        <a:xfrm rot="16200000" flipH="1">
          <a:off x="3329116" y="5603554"/>
          <a:ext cx="317425" cy="3019"/>
        </a:xfrm>
        <a:prstGeom prst="bentConnector3">
          <a:avLst>
            <a:gd name="adj1" fmla="val 50000"/>
          </a:avLst>
        </a:prstGeom>
        <a:ln>
          <a:headEnd type="arrow"/>
          <a:tailEnd type="none" w="lg" len="lg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30495</xdr:colOff>
      <xdr:row>17</xdr:row>
      <xdr:rowOff>161921</xdr:rowOff>
    </xdr:from>
    <xdr:to>
      <xdr:col>4</xdr:col>
      <xdr:colOff>33670</xdr:colOff>
      <xdr:row>19</xdr:row>
      <xdr:rowOff>106441</xdr:rowOff>
    </xdr:to>
    <xdr:cxnSp macro="">
      <xdr:nvCxnSpPr>
        <xdr:cNvPr id="45" name="カギ線コネクタ 49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CxnSpPr>
          <a:cxnSpLocks/>
          <a:stCxn id="17" idx="2"/>
          <a:endCxn id="37" idx="0"/>
        </xdr:cNvCxnSpPr>
      </xdr:nvCxnSpPr>
      <xdr:spPr>
        <a:xfrm rot="5400000">
          <a:off x="1460559" y="3158181"/>
          <a:ext cx="280696" cy="3175"/>
        </a:xfrm>
        <a:prstGeom prst="bentConnector3">
          <a:avLst>
            <a:gd name="adj1" fmla="val 50000"/>
          </a:avLst>
        </a:prstGeom>
        <a:ln>
          <a:headEnd type="none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348674</xdr:colOff>
      <xdr:row>10</xdr:row>
      <xdr:rowOff>64533</xdr:rowOff>
    </xdr:from>
    <xdr:to>
      <xdr:col>13</xdr:col>
      <xdr:colOff>269295</xdr:colOff>
      <xdr:row>18</xdr:row>
      <xdr:rowOff>105830</xdr:rowOff>
    </xdr:to>
    <xdr:cxnSp macro="">
      <xdr:nvCxnSpPr>
        <xdr:cNvPr id="46" name="カギ線コネクタ 49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CxnSpPr>
          <a:cxnSpLocks/>
          <a:stCxn id="32" idx="0"/>
          <a:endCxn id="26" idx="0"/>
        </xdr:cNvCxnSpPr>
      </xdr:nvCxnSpPr>
      <xdr:spPr>
        <a:xfrm rot="16200000" flipV="1">
          <a:off x="3734144" y="1497592"/>
          <a:ext cx="1386003" cy="1881650"/>
        </a:xfrm>
        <a:prstGeom prst="bentConnector3">
          <a:avLst>
            <a:gd name="adj1" fmla="val 116493"/>
          </a:avLst>
        </a:prstGeom>
        <a:ln>
          <a:headEnd type="none"/>
          <a:tailEnd type="none" w="lg" len="lg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2</xdr:col>
      <xdr:colOff>3178</xdr:colOff>
      <xdr:row>7</xdr:row>
      <xdr:rowOff>63500</xdr:rowOff>
    </xdr:from>
    <xdr:ext cx="1623458" cy="1776127"/>
    <xdr:sp macro="" textlink="">
      <xdr:nvSpPr>
        <xdr:cNvPr id="17" name="ﾃﾞｰﾀ種別IDﾏｽﾀ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 txBox="1"/>
      </xdr:nvSpPr>
      <xdr:spPr>
        <a:xfrm>
          <a:off x="787590" y="1240118"/>
          <a:ext cx="1623458" cy="1776127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>
          <a:solidFill>
            <a:srgbClr val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ja-JP" altLang="en-US" sz="1000">
              <a:latin typeface="+mn-ea"/>
              <a:ea typeface="+mn-ea"/>
            </a:rPr>
            <a:t>＜ﾃﾞｰﾀ種別</a:t>
          </a:r>
          <a:r>
            <a:rPr kumimoji="1" lang="en-US" altLang="ja-JP" sz="1000">
              <a:latin typeface="+mn-ea"/>
              <a:ea typeface="+mn-ea"/>
            </a:rPr>
            <a:t>ID</a:t>
          </a:r>
          <a:r>
            <a:rPr kumimoji="1" lang="ja-JP" altLang="en-US" sz="1000">
              <a:latin typeface="+mn-ea"/>
              <a:ea typeface="+mn-ea"/>
            </a:rPr>
            <a:t>ﾏｽﾀ＞</a:t>
          </a:r>
          <a:endParaRPr kumimoji="1" lang="ja-JP" altLang="en-US" sz="1000" u="words">
            <a:latin typeface="+mn-ea"/>
            <a:ea typeface="+mn-ea"/>
          </a:endParaRPr>
        </a:p>
        <a:p>
          <a:r>
            <a:rPr kumimoji="1" lang="ja-JP" altLang="en-US" sz="1000" u="words">
              <a:latin typeface="+mn-ea"/>
              <a:ea typeface="+mn-ea"/>
            </a:rPr>
            <a:t>ﾃﾞｰﾀ種別</a:t>
          </a:r>
          <a:r>
            <a:rPr kumimoji="1" lang="en-US" altLang="ja-JP" sz="1000" u="words">
              <a:latin typeface="+mn-ea"/>
              <a:ea typeface="+mn-ea"/>
            </a:rPr>
            <a:t>ID</a:t>
          </a:r>
        </a:p>
        <a:p>
          <a:r>
            <a:rPr kumimoji="1" lang="ja-JP" altLang="en-US" sz="1000">
              <a:latin typeface="+mn-ea"/>
              <a:ea typeface="+mn-ea"/>
            </a:rPr>
            <a:t>ｼｽﾃﾑｺｰﾄﾞ</a:t>
          </a:r>
        </a:p>
        <a:p>
          <a:r>
            <a:rPr kumimoji="1" lang="ja-JP" altLang="en-US" sz="1000">
              <a:latin typeface="+mn-ea"/>
              <a:ea typeface="+mn-ea"/>
            </a:rPr>
            <a:t>ｼｽﾃﾑ名称</a:t>
          </a:r>
        </a:p>
        <a:p>
          <a:r>
            <a:rPr kumimoji="1" lang="ja-JP" altLang="en-US" sz="1000">
              <a:latin typeface="+mn-ea"/>
              <a:ea typeface="+mn-ea"/>
            </a:rPr>
            <a:t>ｻﾌﾞｼｽﾃﾑｺｰﾄﾞ</a:t>
          </a:r>
        </a:p>
        <a:p>
          <a:r>
            <a:rPr kumimoji="1" lang="ja-JP" altLang="en-US" sz="1000">
              <a:latin typeface="+mn-ea"/>
              <a:ea typeface="+mn-ea"/>
            </a:rPr>
            <a:t>ｻﾌﾞｼｽﾃﾑ名称</a:t>
          </a:r>
        </a:p>
        <a:p>
          <a:r>
            <a:rPr kumimoji="1" lang="ja-JP" altLang="en-US" sz="1000">
              <a:latin typeface="+mn-ea"/>
              <a:ea typeface="+mn-ea"/>
            </a:rPr>
            <a:t>情報発生源</a:t>
          </a:r>
          <a:r>
            <a:rPr kumimoji="1" lang="en-US" altLang="ja-JP" sz="1000">
              <a:latin typeface="+mn-ea"/>
              <a:ea typeface="+mn-ea"/>
            </a:rPr>
            <a:t>ID</a:t>
          </a:r>
        </a:p>
        <a:p>
          <a:r>
            <a:rPr kumimoji="1" lang="ja-JP" altLang="en-US" sz="1000">
              <a:latin typeface="+mn-ea"/>
              <a:ea typeface="+mn-ea"/>
            </a:rPr>
            <a:t>情報発生源名称</a:t>
          </a:r>
        </a:p>
        <a:p>
          <a:r>
            <a:rPr kumimoji="1" lang="ja-JP" altLang="en-US" sz="1000">
              <a:latin typeface="+mn-ea"/>
              <a:ea typeface="+mn-ea"/>
            </a:rPr>
            <a:t>算出ﾛｼﾞｯｸ</a:t>
          </a:r>
          <a:r>
            <a:rPr kumimoji="1" lang="en-US" altLang="ja-JP" sz="1000">
              <a:latin typeface="+mn-ea"/>
              <a:ea typeface="+mn-ea"/>
            </a:rPr>
            <a:t>ID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ｲﾝｼﾃﾞﾝﾄ参照先画面</a:t>
          </a:r>
          <a:r>
            <a:rPr kumimoji="1" lang="en-US" altLang="ja-JP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URL</a:t>
          </a:r>
          <a:endParaRPr lang="ja-JP" altLang="ja-JP" sz="1000">
            <a:effectLst/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34</xdr:col>
      <xdr:colOff>342216</xdr:colOff>
      <xdr:row>53</xdr:row>
      <xdr:rowOff>122464</xdr:rowOff>
    </xdr:from>
    <xdr:to>
      <xdr:col>35</xdr:col>
      <xdr:colOff>266788</xdr:colOff>
      <xdr:row>53</xdr:row>
      <xdr:rowOff>122464</xdr:rowOff>
    </xdr:to>
    <xdr:cxnSp macro="">
      <xdr:nvCxnSpPr>
        <xdr:cNvPr id="2" name="直線コネクタ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CxnSpPr/>
      </xdr:nvCxnSpPr>
      <xdr:spPr>
        <a:xfrm>
          <a:off x="13620066" y="9212489"/>
          <a:ext cx="315097" cy="0"/>
        </a:xfrm>
        <a:prstGeom prst="line">
          <a:avLst/>
        </a:prstGeom>
        <a:ln>
          <a:solidFill>
            <a:schemeClr val="tx1"/>
          </a:solidFill>
          <a:headEnd type="oval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342216</xdr:colOff>
      <xdr:row>55</xdr:row>
      <xdr:rowOff>117928</xdr:rowOff>
    </xdr:from>
    <xdr:to>
      <xdr:col>35</xdr:col>
      <xdr:colOff>266788</xdr:colOff>
      <xdr:row>55</xdr:row>
      <xdr:rowOff>117928</xdr:rowOff>
    </xdr:to>
    <xdr:cxnSp macro="">
      <xdr:nvCxnSpPr>
        <xdr:cNvPr id="3" name="直線コネクタ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CxnSpPr/>
      </xdr:nvCxnSpPr>
      <xdr:spPr>
        <a:xfrm>
          <a:off x="13620066" y="9550853"/>
          <a:ext cx="315097" cy="0"/>
        </a:xfrm>
        <a:prstGeom prst="line">
          <a:avLst/>
        </a:prstGeom>
        <a:ln>
          <a:solidFill>
            <a:schemeClr val="tx1"/>
          </a:solidFill>
          <a:head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342216</xdr:colOff>
      <xdr:row>57</xdr:row>
      <xdr:rowOff>113393</xdr:rowOff>
    </xdr:from>
    <xdr:to>
      <xdr:col>35</xdr:col>
      <xdr:colOff>266788</xdr:colOff>
      <xdr:row>57</xdr:row>
      <xdr:rowOff>113393</xdr:rowOff>
    </xdr:to>
    <xdr:cxnSp macro="">
      <xdr:nvCxnSpPr>
        <xdr:cNvPr id="4" name="直線コネクタ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CxnSpPr/>
      </xdr:nvCxnSpPr>
      <xdr:spPr>
        <a:xfrm>
          <a:off x="13620066" y="9886043"/>
          <a:ext cx="315097" cy="0"/>
        </a:xfrm>
        <a:prstGeom prst="line">
          <a:avLst/>
        </a:prstGeom>
        <a:ln>
          <a:solidFill>
            <a:schemeClr val="tx1"/>
          </a:solidFill>
          <a:head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342216</xdr:colOff>
      <xdr:row>59</xdr:row>
      <xdr:rowOff>108857</xdr:rowOff>
    </xdr:from>
    <xdr:to>
      <xdr:col>35</xdr:col>
      <xdr:colOff>266788</xdr:colOff>
      <xdr:row>59</xdr:row>
      <xdr:rowOff>108857</xdr:rowOff>
    </xdr:to>
    <xdr:cxnSp macro="">
      <xdr:nvCxnSpPr>
        <xdr:cNvPr id="5" name="直線コネクタ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CxnSpPr/>
      </xdr:nvCxnSpPr>
      <xdr:spPr>
        <a:xfrm>
          <a:off x="13620066" y="10221232"/>
          <a:ext cx="315097" cy="0"/>
        </a:xfrm>
        <a:prstGeom prst="line">
          <a:avLst/>
        </a:prstGeom>
        <a:ln>
          <a:solidFill>
            <a:schemeClr val="tx1"/>
          </a:solidFill>
          <a:headEnd type="stealth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342216</xdr:colOff>
      <xdr:row>114</xdr:row>
      <xdr:rowOff>122464</xdr:rowOff>
    </xdr:from>
    <xdr:to>
      <xdr:col>35</xdr:col>
      <xdr:colOff>266788</xdr:colOff>
      <xdr:row>114</xdr:row>
      <xdr:rowOff>122464</xdr:rowOff>
    </xdr:to>
    <xdr:cxnSp macro="">
      <xdr:nvCxnSpPr>
        <xdr:cNvPr id="6" name="直線コネクタ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CxnSpPr/>
      </xdr:nvCxnSpPr>
      <xdr:spPr>
        <a:xfrm>
          <a:off x="13620066" y="19670939"/>
          <a:ext cx="315097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342216</xdr:colOff>
      <xdr:row>116</xdr:row>
      <xdr:rowOff>117928</xdr:rowOff>
    </xdr:from>
    <xdr:to>
      <xdr:col>35</xdr:col>
      <xdr:colOff>266788</xdr:colOff>
      <xdr:row>116</xdr:row>
      <xdr:rowOff>117928</xdr:rowOff>
    </xdr:to>
    <xdr:cxnSp macro="">
      <xdr:nvCxnSpPr>
        <xdr:cNvPr id="7" name="直線コネクタ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CxnSpPr/>
      </xdr:nvCxnSpPr>
      <xdr:spPr>
        <a:xfrm>
          <a:off x="13620066" y="20009303"/>
          <a:ext cx="315097" cy="0"/>
        </a:xfrm>
        <a:prstGeom prst="line">
          <a:avLst/>
        </a:prstGeom>
        <a:ln>
          <a:solidFill>
            <a:schemeClr val="tx1"/>
          </a:solidFill>
          <a:headEnd type="diamon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342216</xdr:colOff>
      <xdr:row>118</xdr:row>
      <xdr:rowOff>113393</xdr:rowOff>
    </xdr:from>
    <xdr:to>
      <xdr:col>35</xdr:col>
      <xdr:colOff>266788</xdr:colOff>
      <xdr:row>118</xdr:row>
      <xdr:rowOff>113393</xdr:rowOff>
    </xdr:to>
    <xdr:cxnSp macro="">
      <xdr:nvCxnSpPr>
        <xdr:cNvPr id="8" name="直線コネクタ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CxnSpPr/>
      </xdr:nvCxnSpPr>
      <xdr:spPr>
        <a:xfrm>
          <a:off x="13620066" y="20344493"/>
          <a:ext cx="315097" cy="0"/>
        </a:xfrm>
        <a:prstGeom prst="line">
          <a:avLst/>
        </a:prstGeom>
        <a:ln>
          <a:solidFill>
            <a:schemeClr val="tx1"/>
          </a:solidFill>
          <a:head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342216</xdr:colOff>
      <xdr:row>120</xdr:row>
      <xdr:rowOff>108857</xdr:rowOff>
    </xdr:from>
    <xdr:to>
      <xdr:col>35</xdr:col>
      <xdr:colOff>266788</xdr:colOff>
      <xdr:row>120</xdr:row>
      <xdr:rowOff>108857</xdr:rowOff>
    </xdr:to>
    <xdr:cxnSp macro="">
      <xdr:nvCxnSpPr>
        <xdr:cNvPr id="9" name="直線コネクタ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CxnSpPr/>
      </xdr:nvCxnSpPr>
      <xdr:spPr>
        <a:xfrm>
          <a:off x="13620066" y="20679682"/>
          <a:ext cx="315097" cy="0"/>
        </a:xfrm>
        <a:prstGeom prst="line">
          <a:avLst/>
        </a:prstGeom>
        <a:ln>
          <a:solidFill>
            <a:schemeClr val="tx1"/>
          </a:solidFill>
          <a:headEnd type="stealth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264625</xdr:colOff>
      <xdr:row>12</xdr:row>
      <xdr:rowOff>102787</xdr:rowOff>
    </xdr:from>
    <xdr:to>
      <xdr:col>17</xdr:col>
      <xdr:colOff>332931</xdr:colOff>
      <xdr:row>17</xdr:row>
      <xdr:rowOff>121864</xdr:rowOff>
    </xdr:to>
    <xdr:cxnSp macro="">
      <xdr:nvCxnSpPr>
        <xdr:cNvPr id="11" name="カギ線コネクタ 49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CxnSpPr>
          <a:cxnSpLocks/>
          <a:stCxn id="33" idx="1"/>
          <a:endCxn id="32" idx="0"/>
        </xdr:cNvCxnSpPr>
      </xdr:nvCxnSpPr>
      <xdr:spPr>
        <a:xfrm rot="10800000" flipV="1">
          <a:off x="5363301" y="2119846"/>
          <a:ext cx="1637130" cy="859518"/>
        </a:xfrm>
        <a:prstGeom prst="bentConnector2">
          <a:avLst/>
        </a:prstGeom>
        <a:ln>
          <a:headEnd type="none"/>
          <a:tailEnd type="none" w="lg" len="lg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142873</xdr:colOff>
      <xdr:row>47</xdr:row>
      <xdr:rowOff>163821</xdr:rowOff>
    </xdr:from>
    <xdr:to>
      <xdr:col>27</xdr:col>
      <xdr:colOff>363762</xdr:colOff>
      <xdr:row>49</xdr:row>
      <xdr:rowOff>10597</xdr:rowOff>
    </xdr:to>
    <xdr:sp macro="" textlink="">
      <xdr:nvSpPr>
        <xdr:cNvPr id="12" name="円/楕円 53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10690223" y="8218796"/>
          <a:ext cx="217714" cy="189676"/>
        </a:xfrm>
        <a:prstGeom prst="ellipse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287063</xdr:colOff>
      <xdr:row>53</xdr:row>
      <xdr:rowOff>105686</xdr:rowOff>
    </xdr:from>
    <xdr:to>
      <xdr:col>29</xdr:col>
      <xdr:colOff>68648</xdr:colOff>
      <xdr:row>54</xdr:row>
      <xdr:rowOff>125644</xdr:rowOff>
    </xdr:to>
    <xdr:sp macro="" textlink="">
      <xdr:nvSpPr>
        <xdr:cNvPr id="13" name="円/楕円 54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11221763" y="9189361"/>
          <a:ext cx="168935" cy="191408"/>
        </a:xfrm>
        <a:prstGeom prst="ellipse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48776</xdr:colOff>
      <xdr:row>22</xdr:row>
      <xdr:rowOff>139865</xdr:rowOff>
    </xdr:from>
    <xdr:to>
      <xdr:col>18</xdr:col>
      <xdr:colOff>266490</xdr:colOff>
      <xdr:row>23</xdr:row>
      <xdr:rowOff>159823</xdr:rowOff>
    </xdr:to>
    <xdr:sp macro="" textlink="">
      <xdr:nvSpPr>
        <xdr:cNvPr id="14" name="円/楕円 56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/>
      </xdr:nvSpPr>
      <xdr:spPr>
        <a:xfrm>
          <a:off x="7075051" y="3914940"/>
          <a:ext cx="220889" cy="191408"/>
        </a:xfrm>
        <a:prstGeom prst="ellipse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14</xdr:col>
      <xdr:colOff>219072</xdr:colOff>
      <xdr:row>52</xdr:row>
      <xdr:rowOff>0</xdr:rowOff>
    </xdr:from>
    <xdr:to>
      <xdr:col>15</xdr:col>
      <xdr:colOff>49436</xdr:colOff>
      <xdr:row>52</xdr:row>
      <xdr:rowOff>28489</xdr:rowOff>
    </xdr:to>
    <xdr:sp macro="" textlink="">
      <xdr:nvSpPr>
        <xdr:cNvPr id="15" name="円/楕円 58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SpPr/>
      </xdr:nvSpPr>
      <xdr:spPr>
        <a:xfrm>
          <a:off x="5689597" y="8915400"/>
          <a:ext cx="214539" cy="31664"/>
        </a:xfrm>
        <a:prstGeom prst="ellipse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20</xdr:col>
      <xdr:colOff>353000</xdr:colOff>
      <xdr:row>29</xdr:row>
      <xdr:rowOff>87040</xdr:rowOff>
    </xdr:from>
    <xdr:to>
      <xdr:col>21</xdr:col>
      <xdr:colOff>173839</xdr:colOff>
      <xdr:row>30</xdr:row>
      <xdr:rowOff>97473</xdr:rowOff>
    </xdr:to>
    <xdr:sp macro="" textlink="">
      <xdr:nvSpPr>
        <xdr:cNvPr id="16" name="円/楕円 59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SpPr/>
      </xdr:nvSpPr>
      <xdr:spPr>
        <a:xfrm>
          <a:off x="8160325" y="5055915"/>
          <a:ext cx="214539" cy="185058"/>
        </a:xfrm>
        <a:prstGeom prst="ellipse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352425</xdr:colOff>
          <xdr:row>4</xdr:row>
          <xdr:rowOff>76200</xdr:rowOff>
        </xdr:from>
        <xdr:to>
          <xdr:col>36</xdr:col>
          <xdr:colOff>381000</xdr:colOff>
          <xdr:row>6</xdr:row>
          <xdr:rowOff>76200</xdr:rowOff>
        </xdr:to>
        <xdr:sp macro="" textlink="">
          <xdr:nvSpPr>
            <xdr:cNvPr id="664577" name="Button 1" hidden="1">
              <a:extLst>
                <a:ext uri="{63B3BB69-23CF-44E3-9099-C40C66FF867C}">
                  <a14:compatExt spid="_x0000_s664577"/>
                </a:ext>
                <a:ext uri="{FF2B5EF4-FFF2-40B4-BE49-F238E27FC236}">
                  <a16:creationId xmlns:a16="http://schemas.microsoft.com/office/drawing/2014/main" id="{00000000-0008-0000-0300-00000124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ER図更新</a:t>
              </a:r>
            </a:p>
          </xdr:txBody>
        </xdr:sp>
        <xdr:clientData fPrintsWithSheet="0"/>
      </xdr:twoCellAnchor>
    </mc:Choice>
    <mc:Fallback/>
  </mc:AlternateContent>
  <xdr:twoCellAnchor>
    <xdr:from>
      <xdr:col>34</xdr:col>
      <xdr:colOff>342216</xdr:colOff>
      <xdr:row>175</xdr:row>
      <xdr:rowOff>122464</xdr:rowOff>
    </xdr:from>
    <xdr:to>
      <xdr:col>35</xdr:col>
      <xdr:colOff>266788</xdr:colOff>
      <xdr:row>175</xdr:row>
      <xdr:rowOff>122464</xdr:rowOff>
    </xdr:to>
    <xdr:cxnSp macro="">
      <xdr:nvCxnSpPr>
        <xdr:cNvPr id="18" name="直線コネクタ 17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CxnSpPr/>
      </xdr:nvCxnSpPr>
      <xdr:spPr>
        <a:xfrm>
          <a:off x="13620066" y="30129389"/>
          <a:ext cx="315097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342216</xdr:colOff>
      <xdr:row>177</xdr:row>
      <xdr:rowOff>117928</xdr:rowOff>
    </xdr:from>
    <xdr:to>
      <xdr:col>35</xdr:col>
      <xdr:colOff>266788</xdr:colOff>
      <xdr:row>177</xdr:row>
      <xdr:rowOff>117928</xdr:rowOff>
    </xdr:to>
    <xdr:cxnSp macro="">
      <xdr:nvCxnSpPr>
        <xdr:cNvPr id="19" name="直線コネクタ 18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CxnSpPr/>
      </xdr:nvCxnSpPr>
      <xdr:spPr>
        <a:xfrm>
          <a:off x="13620066" y="30467753"/>
          <a:ext cx="315097" cy="0"/>
        </a:xfrm>
        <a:prstGeom prst="line">
          <a:avLst/>
        </a:prstGeom>
        <a:ln>
          <a:solidFill>
            <a:schemeClr val="tx1"/>
          </a:solidFill>
          <a:headEnd type="diamon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342216</xdr:colOff>
      <xdr:row>179</xdr:row>
      <xdr:rowOff>113393</xdr:rowOff>
    </xdr:from>
    <xdr:to>
      <xdr:col>35</xdr:col>
      <xdr:colOff>266788</xdr:colOff>
      <xdr:row>179</xdr:row>
      <xdr:rowOff>113393</xdr:rowOff>
    </xdr:to>
    <xdr:cxnSp macro="">
      <xdr:nvCxnSpPr>
        <xdr:cNvPr id="20" name="直線コネクタ 19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CxnSpPr/>
      </xdr:nvCxnSpPr>
      <xdr:spPr>
        <a:xfrm>
          <a:off x="13620066" y="30802943"/>
          <a:ext cx="315097" cy="0"/>
        </a:xfrm>
        <a:prstGeom prst="line">
          <a:avLst/>
        </a:prstGeom>
        <a:ln>
          <a:solidFill>
            <a:schemeClr val="tx1"/>
          </a:solidFill>
          <a:head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342216</xdr:colOff>
      <xdr:row>181</xdr:row>
      <xdr:rowOff>108857</xdr:rowOff>
    </xdr:from>
    <xdr:to>
      <xdr:col>35</xdr:col>
      <xdr:colOff>266788</xdr:colOff>
      <xdr:row>181</xdr:row>
      <xdr:rowOff>108857</xdr:rowOff>
    </xdr:to>
    <xdr:cxnSp macro="">
      <xdr:nvCxnSpPr>
        <xdr:cNvPr id="21" name="直線コネクタ 20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CxnSpPr/>
      </xdr:nvCxnSpPr>
      <xdr:spPr>
        <a:xfrm>
          <a:off x="13620066" y="31138132"/>
          <a:ext cx="315097" cy="0"/>
        </a:xfrm>
        <a:prstGeom prst="line">
          <a:avLst/>
        </a:prstGeom>
        <a:ln>
          <a:solidFill>
            <a:schemeClr val="tx1"/>
          </a:solidFill>
          <a:headEnd type="stealth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155224</xdr:colOff>
      <xdr:row>20</xdr:row>
      <xdr:rowOff>165888</xdr:rowOff>
    </xdr:from>
    <xdr:to>
      <xdr:col>12</xdr:col>
      <xdr:colOff>21784</xdr:colOff>
      <xdr:row>21</xdr:row>
      <xdr:rowOff>4150</xdr:rowOff>
    </xdr:to>
    <xdr:cxnSp macro="">
      <xdr:nvCxnSpPr>
        <xdr:cNvPr id="22" name="カギ線コネクタ 49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CxnSpPr>
          <a:cxnSpLocks/>
          <a:stCxn id="32" idx="1"/>
          <a:endCxn id="31" idx="3"/>
        </xdr:cNvCxnSpPr>
      </xdr:nvCxnSpPr>
      <xdr:spPr>
        <a:xfrm rot="10800000">
          <a:off x="4077283" y="3527653"/>
          <a:ext cx="650972" cy="6350"/>
        </a:xfrm>
        <a:prstGeom prst="bentConnector3">
          <a:avLst>
            <a:gd name="adj1" fmla="val 50000"/>
          </a:avLst>
        </a:prstGeom>
        <a:ln>
          <a:headEnd type="triangle"/>
          <a:tailEnd type="none" w="lg" len="lg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129944</xdr:colOff>
      <xdr:row>21</xdr:row>
      <xdr:rowOff>7326</xdr:rowOff>
    </xdr:from>
    <xdr:to>
      <xdr:col>18</xdr:col>
      <xdr:colOff>114906</xdr:colOff>
      <xdr:row>27</xdr:row>
      <xdr:rowOff>91101</xdr:rowOff>
    </xdr:to>
    <xdr:cxnSp macro="">
      <xdr:nvCxnSpPr>
        <xdr:cNvPr id="23" name="カギ線コネクタ 49"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CxnSpPr>
          <a:cxnSpLocks/>
          <a:stCxn id="60" idx="1"/>
          <a:endCxn id="37" idx="3"/>
        </xdr:cNvCxnSpPr>
      </xdr:nvCxnSpPr>
      <xdr:spPr>
        <a:xfrm rot="10800000" flipV="1">
          <a:off x="6013032" y="3537179"/>
          <a:ext cx="1161580" cy="1092304"/>
        </a:xfrm>
        <a:prstGeom prst="bentConnector3">
          <a:avLst>
            <a:gd name="adj1" fmla="val 50000"/>
          </a:avLst>
        </a:prstGeom>
        <a:ln>
          <a:headEnd type="none"/>
          <a:tailEnd type="none" w="lg" len="lg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206069</xdr:colOff>
      <xdr:row>23</xdr:row>
      <xdr:rowOff>103759</xdr:rowOff>
    </xdr:from>
    <xdr:to>
      <xdr:col>19</xdr:col>
      <xdr:colOff>226921</xdr:colOff>
      <xdr:row>30</xdr:row>
      <xdr:rowOff>104952</xdr:rowOff>
    </xdr:to>
    <xdr:cxnSp macro="">
      <xdr:nvCxnSpPr>
        <xdr:cNvPr id="25" name="カギ線コネクタ 49">
          <a:extLst>
            <a:ext uri="{FF2B5EF4-FFF2-40B4-BE49-F238E27FC236}">
              <a16:creationId xmlns:a16="http://schemas.microsoft.com/office/drawing/2014/main" id="{00000000-0008-0000-0300-000019000000}"/>
            </a:ext>
          </a:extLst>
        </xdr:cNvPr>
        <xdr:cNvCxnSpPr>
          <a:cxnSpLocks/>
          <a:endCxn id="61" idx="0"/>
        </xdr:cNvCxnSpPr>
      </xdr:nvCxnSpPr>
      <xdr:spPr>
        <a:xfrm rot="5400000">
          <a:off x="7079501" y="4548268"/>
          <a:ext cx="1177811" cy="20852"/>
        </a:xfrm>
        <a:prstGeom prst="bentConnector3">
          <a:avLst>
            <a:gd name="adj1" fmla="val 50000"/>
          </a:avLst>
        </a:prstGeom>
        <a:ln>
          <a:headEnd type="none"/>
          <a:tailEnd type="non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7</xdr:col>
      <xdr:colOff>88393</xdr:colOff>
      <xdr:row>10</xdr:row>
      <xdr:rowOff>59373</xdr:rowOff>
    </xdr:from>
    <xdr:ext cx="1312219" cy="759182"/>
    <xdr:sp macro="" textlink="">
      <xdr:nvSpPr>
        <xdr:cNvPr id="26" name="ｹｰｽ管理ID変換">
          <a:extLst>
            <a:ext uri="{FF2B5EF4-FFF2-40B4-BE49-F238E27FC236}">
              <a16:creationId xmlns:a16="http://schemas.microsoft.com/office/drawing/2014/main" id="{00000000-0008-0000-0300-00001A000000}"/>
            </a:ext>
          </a:extLst>
        </xdr:cNvPr>
        <xdr:cNvSpPr txBox="1"/>
      </xdr:nvSpPr>
      <xdr:spPr>
        <a:xfrm>
          <a:off x="2833834" y="1740255"/>
          <a:ext cx="1312219" cy="759182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>
          <a:solidFill>
            <a:srgbClr val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ja-JP" altLang="en-US" sz="1000">
              <a:latin typeface="+mn-ea"/>
              <a:ea typeface="+mn-ea"/>
            </a:rPr>
            <a:t>＜ｹｰｽ管理</a:t>
          </a:r>
          <a:r>
            <a:rPr kumimoji="1" lang="en-US" altLang="ja-JP" sz="1000">
              <a:latin typeface="+mn-ea"/>
              <a:ea typeface="+mn-ea"/>
            </a:rPr>
            <a:t>ID</a:t>
          </a:r>
          <a:r>
            <a:rPr kumimoji="1" lang="ja-JP" altLang="en-US" sz="1000">
              <a:latin typeface="+mn-ea"/>
              <a:ea typeface="+mn-ea"/>
            </a:rPr>
            <a:t>変換＞</a:t>
          </a:r>
          <a:endParaRPr kumimoji="1" lang="ja-JP" altLang="en-US" sz="1000" u="words">
            <a:latin typeface="+mn-ea"/>
            <a:ea typeface="+mn-ea"/>
          </a:endParaRPr>
        </a:p>
        <a:p>
          <a:r>
            <a:rPr kumimoji="1" lang="ja-JP" altLang="en-US" sz="1000" u="words">
              <a:latin typeface="+mn-ea"/>
              <a:ea typeface="+mn-ea"/>
            </a:rPr>
            <a:t>ﾃﾞｰﾀ種別</a:t>
          </a:r>
          <a:r>
            <a:rPr kumimoji="1" lang="en-US" altLang="ja-JP" sz="1000" u="words">
              <a:latin typeface="+mn-ea"/>
              <a:ea typeface="+mn-ea"/>
            </a:rPr>
            <a:t>ID</a:t>
          </a:r>
        </a:p>
        <a:p>
          <a:r>
            <a:rPr kumimoji="1" lang="ja-JP" altLang="en-US" sz="1000" u="words">
              <a:latin typeface="+mn-ea"/>
              <a:ea typeface="+mn-ea"/>
            </a:rPr>
            <a:t>ｲﾝｼﾃﾞﾝﾄｺｰﾄﾞ</a:t>
          </a:r>
        </a:p>
        <a:p>
          <a:r>
            <a:rPr kumimoji="1" lang="ja-JP" altLang="en-US" sz="1000">
              <a:latin typeface="+mn-ea"/>
              <a:ea typeface="+mn-ea"/>
            </a:rPr>
            <a:t>ｹｰｽ管理</a:t>
          </a:r>
          <a:r>
            <a:rPr kumimoji="1" lang="en-US" altLang="ja-JP" sz="1000">
              <a:latin typeface="+mn-ea"/>
              <a:ea typeface="+mn-ea"/>
            </a:rPr>
            <a:t>ID</a:t>
          </a:r>
          <a:endParaRPr kumimoji="1" lang="ja-JP" altLang="en-US" sz="1000">
            <a:latin typeface="+mn-ea"/>
            <a:ea typeface="+mn-ea"/>
          </a:endParaRPr>
        </a:p>
      </xdr:txBody>
    </xdr:sp>
    <xdr:clientData/>
  </xdr:oneCellAnchor>
  <xdr:oneCellAnchor>
    <xdr:from>
      <xdr:col>21</xdr:col>
      <xdr:colOff>154832</xdr:colOff>
      <xdr:row>19</xdr:row>
      <xdr:rowOff>40917</xdr:rowOff>
    </xdr:from>
    <xdr:ext cx="1068819" cy="592470"/>
    <xdr:sp macro="" textlink="">
      <xdr:nvSpPr>
        <xdr:cNvPr id="27" name="再計算ﾌﾗｸﾞ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8391156" y="3234593"/>
          <a:ext cx="1068819" cy="592470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>
          <a:solidFill>
            <a:srgbClr val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ja-JP" altLang="en-US" sz="1000">
              <a:solidFill>
                <a:sysClr val="windowText" lastClr="000000"/>
              </a:solidFill>
              <a:latin typeface="+mn-ea"/>
              <a:ea typeface="+mn-ea"/>
            </a:rPr>
            <a:t>＜再計算ﾌﾗｸﾞ＞</a:t>
          </a:r>
          <a:endParaRPr kumimoji="1" lang="ja-JP" altLang="en-US" sz="1000" u="words">
            <a:solidFill>
              <a:sysClr val="windowText" lastClr="000000"/>
            </a:solidFill>
            <a:latin typeface="+mn-ea"/>
            <a:ea typeface="+mn-ea"/>
          </a:endParaRPr>
        </a:p>
        <a:p>
          <a:r>
            <a:rPr kumimoji="1" lang="ja-JP" altLang="en-US" sz="1000" u="words">
              <a:solidFill>
                <a:sysClr val="windowText" lastClr="000000"/>
              </a:solidFill>
              <a:latin typeface="+mn-ea"/>
              <a:ea typeface="+mn-ea"/>
            </a:rPr>
            <a:t>ｹｰｽ管理</a:t>
          </a:r>
          <a:r>
            <a:rPr kumimoji="1" lang="en-US" altLang="ja-JP" sz="1000" u="words">
              <a:solidFill>
                <a:sysClr val="windowText" lastClr="000000"/>
              </a:solidFill>
              <a:latin typeface="+mn-ea"/>
              <a:ea typeface="+mn-ea"/>
            </a:rPr>
            <a:t>ID</a:t>
          </a:r>
        </a:p>
        <a:p>
          <a:r>
            <a:rPr kumimoji="1" lang="ja-JP" altLang="en-US" sz="1000">
              <a:solidFill>
                <a:sysClr val="windowText" lastClr="000000"/>
              </a:solidFill>
              <a:latin typeface="+mn-ea"/>
              <a:ea typeface="+mn-ea"/>
            </a:rPr>
            <a:t>再計算ﾌﾗｸﾞ</a:t>
          </a:r>
        </a:p>
      </xdr:txBody>
    </xdr:sp>
    <xdr:clientData/>
  </xdr:oneCellAnchor>
  <xdr:oneCellAnchor>
    <xdr:from>
      <xdr:col>7</xdr:col>
      <xdr:colOff>150813</xdr:colOff>
      <xdr:row>18</xdr:row>
      <xdr:rowOff>125649</xdr:rowOff>
    </xdr:from>
    <xdr:ext cx="1181029" cy="759182"/>
    <xdr:sp macro="" textlink="">
      <xdr:nvSpPr>
        <xdr:cNvPr id="31" name="説明定数ﾏｽﾀ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2896254" y="3151237"/>
          <a:ext cx="1181029" cy="759182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>
          <a:solidFill>
            <a:srgbClr val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ja-JP" altLang="en-US" sz="1000">
              <a:latin typeface="+mn-ea"/>
              <a:ea typeface="+mn-ea"/>
            </a:rPr>
            <a:t>＜説明定数ﾏｽﾀ＞</a:t>
          </a:r>
          <a:endParaRPr kumimoji="1" lang="ja-JP" altLang="en-US" sz="1000" u="words">
            <a:latin typeface="+mn-ea"/>
            <a:ea typeface="+mn-ea"/>
          </a:endParaRPr>
        </a:p>
        <a:p>
          <a:r>
            <a:rPr kumimoji="1" lang="ja-JP" altLang="en-US" sz="1000" u="words">
              <a:latin typeface="+mn-ea"/>
              <a:ea typeface="+mn-ea"/>
            </a:rPr>
            <a:t>算出ﾛｼﾞｯｸ</a:t>
          </a:r>
          <a:r>
            <a:rPr kumimoji="1" lang="en-US" altLang="ja-JP" sz="1000" u="words">
              <a:latin typeface="+mn-ea"/>
              <a:ea typeface="+mn-ea"/>
            </a:rPr>
            <a:t>ID</a:t>
          </a:r>
        </a:p>
        <a:p>
          <a:r>
            <a:rPr kumimoji="1" lang="ja-JP" altLang="en-US" sz="1000">
              <a:latin typeface="+mn-ea"/>
              <a:ea typeface="+mn-ea"/>
            </a:rPr>
            <a:t>説明定数</a:t>
          </a:r>
          <a:r>
            <a:rPr kumimoji="1" lang="en-US" altLang="ja-JP" sz="1000">
              <a:latin typeface="+mn-ea"/>
              <a:ea typeface="+mn-ea"/>
            </a:rPr>
            <a:t>A</a:t>
          </a:r>
        </a:p>
        <a:p>
          <a:r>
            <a:rPr kumimoji="1" lang="ja-JP" altLang="en-US" sz="1000">
              <a:latin typeface="+mn-ea"/>
              <a:ea typeface="+mn-ea"/>
            </a:rPr>
            <a:t>説明定数</a:t>
          </a:r>
          <a:r>
            <a:rPr kumimoji="1" lang="en-US" altLang="ja-JP" sz="1000">
              <a:latin typeface="+mn-ea"/>
              <a:ea typeface="+mn-ea"/>
            </a:rPr>
            <a:t>Z</a:t>
          </a:r>
          <a:endParaRPr kumimoji="1" lang="ja-JP" altLang="en-US" sz="1000">
            <a:latin typeface="+mn-ea"/>
            <a:ea typeface="+mn-ea"/>
          </a:endParaRPr>
        </a:p>
      </xdr:txBody>
    </xdr:sp>
    <xdr:clientData/>
  </xdr:oneCellAnchor>
  <xdr:oneCellAnchor>
    <xdr:from>
      <xdr:col>12</xdr:col>
      <xdr:colOff>21784</xdr:colOff>
      <xdr:row>17</xdr:row>
      <xdr:rowOff>118689</xdr:rowOff>
    </xdr:from>
    <xdr:ext cx="1270091" cy="1109278"/>
    <xdr:sp macro="" textlink="">
      <xdr:nvSpPr>
        <xdr:cNvPr id="32" name="教師ﾃﾞｰﾀ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SpPr txBox="1"/>
      </xdr:nvSpPr>
      <xdr:spPr>
        <a:xfrm>
          <a:off x="4728255" y="2976189"/>
          <a:ext cx="1270091" cy="1109278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>
          <a:solidFill>
            <a:srgbClr val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ja-JP" altLang="en-US" sz="1000">
              <a:latin typeface="+mn-ea"/>
              <a:ea typeface="+mn-ea"/>
            </a:rPr>
            <a:t>＜教師ﾃﾞｰﾀ＞</a:t>
          </a:r>
          <a:endParaRPr kumimoji="1" lang="ja-JP" altLang="en-US" sz="1000" u="words">
            <a:latin typeface="+mn-ea"/>
            <a:ea typeface="+mn-ea"/>
          </a:endParaRPr>
        </a:p>
        <a:p>
          <a:r>
            <a:rPr kumimoji="1" lang="ja-JP" altLang="en-US" sz="1000" u="words">
              <a:latin typeface="+mn-ea"/>
              <a:ea typeface="+mn-ea"/>
            </a:rPr>
            <a:t>ｹｰｽ管理</a:t>
          </a:r>
          <a:r>
            <a:rPr kumimoji="1" lang="en-US" altLang="ja-JP" sz="1000" u="words">
              <a:latin typeface="+mn-ea"/>
              <a:ea typeface="+mn-ea"/>
            </a:rPr>
            <a:t>ID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ja-JP" sz="1000" b="0" u="none">
              <a:solidFill>
                <a:schemeClr val="tx1"/>
              </a:solidFill>
              <a:effectLst/>
              <a:latin typeface="+mn-ea"/>
              <a:ea typeface="+mn-ea"/>
              <a:cs typeface="+mn-cs"/>
            </a:rPr>
            <a:t>算出ﾛｼﾞｯｸ</a:t>
          </a:r>
          <a:r>
            <a:rPr kumimoji="1" lang="en-US" altLang="ja-JP" sz="1000" b="0" u="none">
              <a:solidFill>
                <a:schemeClr val="tx1"/>
              </a:solidFill>
              <a:effectLst/>
              <a:latin typeface="+mn-ea"/>
              <a:ea typeface="+mn-ea"/>
              <a:cs typeface="+mn-cs"/>
            </a:rPr>
            <a:t>ID</a:t>
          </a:r>
          <a:endParaRPr lang="ja-JP" altLang="ja-JP" sz="1000" b="0" u="none">
            <a:effectLst/>
            <a:latin typeface="+mn-ea"/>
            <a:ea typeface="+mn-ea"/>
          </a:endParaRPr>
        </a:p>
        <a:p>
          <a:r>
            <a:rPr kumimoji="1" lang="ja-JP" altLang="en-US" sz="1000">
              <a:latin typeface="+mn-ea"/>
              <a:ea typeface="+mn-ea"/>
            </a:rPr>
            <a:t>説明変数</a:t>
          </a:r>
          <a:r>
            <a:rPr kumimoji="1" lang="en-US" altLang="ja-JP" sz="1000">
              <a:latin typeface="+mn-ea"/>
              <a:ea typeface="+mn-ea"/>
            </a:rPr>
            <a:t>a</a:t>
          </a:r>
        </a:p>
        <a:p>
          <a:r>
            <a:rPr kumimoji="1" lang="ja-JP" altLang="en-US" sz="1000">
              <a:latin typeface="+mn-ea"/>
              <a:ea typeface="+mn-ea"/>
            </a:rPr>
            <a:t>説明変数</a:t>
          </a:r>
          <a:r>
            <a:rPr kumimoji="1" lang="en-US" altLang="ja-JP" sz="1000">
              <a:latin typeface="+mn-ea"/>
              <a:ea typeface="+mn-ea"/>
            </a:rPr>
            <a:t>z</a:t>
          </a:r>
        </a:p>
        <a:p>
          <a:r>
            <a:rPr kumimoji="1" lang="ja-JP" altLang="en-US" sz="1000">
              <a:latin typeface="+mn-ea"/>
              <a:ea typeface="+mn-ea"/>
            </a:rPr>
            <a:t>手動設定出ﾘｽｸｽｺｱ</a:t>
          </a:r>
        </a:p>
      </xdr:txBody>
    </xdr:sp>
    <xdr:clientData/>
  </xdr:oneCellAnchor>
  <xdr:oneCellAnchor>
    <xdr:from>
      <xdr:col>17</xdr:col>
      <xdr:colOff>329756</xdr:colOff>
      <xdr:row>10</xdr:row>
      <xdr:rowOff>59373</xdr:rowOff>
    </xdr:from>
    <xdr:ext cx="1327799" cy="759182"/>
    <xdr:sp macro="" textlink="">
      <xdr:nvSpPr>
        <xdr:cNvPr id="33" name="ﾃﾞｰﾀ種別ID変換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997256" y="1740255"/>
          <a:ext cx="1327799" cy="759182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>
          <a:solidFill>
            <a:srgbClr val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ja-JP" altLang="en-US" sz="1000">
              <a:latin typeface="+mn-ea"/>
              <a:ea typeface="+mn-ea"/>
            </a:rPr>
            <a:t>＜ﾃﾞｰﾀ種別</a:t>
          </a:r>
          <a:r>
            <a:rPr kumimoji="1" lang="en-US" altLang="ja-JP" sz="1000">
              <a:latin typeface="+mn-ea"/>
              <a:ea typeface="+mn-ea"/>
            </a:rPr>
            <a:t>ID</a:t>
          </a:r>
          <a:r>
            <a:rPr kumimoji="1" lang="ja-JP" altLang="en-US" sz="1000">
              <a:latin typeface="+mn-ea"/>
              <a:ea typeface="+mn-ea"/>
            </a:rPr>
            <a:t>変換＞</a:t>
          </a:r>
          <a:endParaRPr kumimoji="1" lang="ja-JP" altLang="en-US" sz="1000" u="words">
            <a:latin typeface="+mn-ea"/>
            <a:ea typeface="+mn-ea"/>
          </a:endParaRPr>
        </a:p>
        <a:p>
          <a:r>
            <a:rPr kumimoji="1" lang="ja-JP" altLang="en-US" sz="1000" u="words">
              <a:latin typeface="+mn-ea"/>
              <a:ea typeface="+mn-ea"/>
            </a:rPr>
            <a:t>ｹｰｽ管理</a:t>
          </a:r>
          <a:r>
            <a:rPr kumimoji="1" lang="en-US" altLang="ja-JP" sz="1000" u="words">
              <a:latin typeface="+mn-ea"/>
              <a:ea typeface="+mn-ea"/>
            </a:rPr>
            <a:t>ID</a:t>
          </a:r>
        </a:p>
        <a:p>
          <a:r>
            <a:rPr kumimoji="1" lang="ja-JP" altLang="en-US" sz="1000">
              <a:latin typeface="+mn-ea"/>
              <a:ea typeface="+mn-ea"/>
            </a:rPr>
            <a:t>ﾃﾞｰﾀ種別</a:t>
          </a:r>
          <a:r>
            <a:rPr kumimoji="1" lang="en-US" altLang="ja-JP" sz="1000">
              <a:latin typeface="+mn-ea"/>
              <a:ea typeface="+mn-ea"/>
            </a:rPr>
            <a:t>ID</a:t>
          </a:r>
        </a:p>
        <a:p>
          <a:r>
            <a:rPr kumimoji="1" lang="ja-JP" altLang="en-US" sz="1000">
              <a:latin typeface="+mn-ea"/>
              <a:ea typeface="+mn-ea"/>
            </a:rPr>
            <a:t>ｲﾝｼﾃﾞﾝﾄ</a:t>
          </a:r>
          <a:r>
            <a:rPr kumimoji="1" lang="en-US" altLang="ja-JP" sz="1000">
              <a:latin typeface="+mn-ea"/>
              <a:ea typeface="+mn-ea"/>
            </a:rPr>
            <a:t>ID</a:t>
          </a:r>
          <a:endParaRPr kumimoji="1" lang="ja-JP" altLang="en-US" sz="1000">
            <a:latin typeface="+mn-ea"/>
            <a:ea typeface="+mn-ea"/>
          </a:endParaRPr>
        </a:p>
      </xdr:txBody>
    </xdr:sp>
    <xdr:clientData/>
  </xdr:oneCellAnchor>
  <xdr:twoCellAnchor>
    <xdr:from>
      <xdr:col>19</xdr:col>
      <xdr:colOff>212419</xdr:colOff>
      <xdr:row>14</xdr:row>
      <xdr:rowOff>146202</xdr:rowOff>
    </xdr:from>
    <xdr:to>
      <xdr:col>19</xdr:col>
      <xdr:colOff>226919</xdr:colOff>
      <xdr:row>18</xdr:row>
      <xdr:rowOff>18305</xdr:rowOff>
    </xdr:to>
    <xdr:cxnSp macro="">
      <xdr:nvCxnSpPr>
        <xdr:cNvPr id="34" name="カギ線コネクタ 49">
          <a:extLst>
            <a:ext uri="{FF2B5EF4-FFF2-40B4-BE49-F238E27FC236}">
              <a16:creationId xmlns:a16="http://schemas.microsoft.com/office/drawing/2014/main" id="{00000000-0008-0000-0300-000022000000}"/>
            </a:ext>
          </a:extLst>
        </xdr:cNvPr>
        <xdr:cNvCxnSpPr>
          <a:cxnSpLocks/>
          <a:stCxn id="33" idx="2"/>
        </xdr:cNvCxnSpPr>
      </xdr:nvCxnSpPr>
      <xdr:spPr>
        <a:xfrm rot="16200000" flipH="1">
          <a:off x="7399353" y="2764415"/>
          <a:ext cx="544456" cy="14500"/>
        </a:xfrm>
        <a:prstGeom prst="bentConnector3">
          <a:avLst>
            <a:gd name="adj1" fmla="val 50000"/>
          </a:avLst>
        </a:prstGeom>
        <a:ln>
          <a:headEnd type="none"/>
          <a:tailEnd type="none" w="lg" len="lg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351084</xdr:colOff>
      <xdr:row>12</xdr:row>
      <xdr:rowOff>102787</xdr:rowOff>
    </xdr:from>
    <xdr:to>
      <xdr:col>7</xdr:col>
      <xdr:colOff>85218</xdr:colOff>
      <xdr:row>12</xdr:row>
      <xdr:rowOff>105962</xdr:rowOff>
    </xdr:to>
    <xdr:cxnSp macro="">
      <xdr:nvCxnSpPr>
        <xdr:cNvPr id="35" name="カギ線コネクタ 49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CxnSpPr>
          <a:cxnSpLocks/>
          <a:stCxn id="46" idx="3"/>
          <a:endCxn id="26" idx="1"/>
        </xdr:cNvCxnSpPr>
      </xdr:nvCxnSpPr>
      <xdr:spPr>
        <a:xfrm flipV="1">
          <a:off x="2312113" y="2119846"/>
          <a:ext cx="518546" cy="3175"/>
        </a:xfrm>
        <a:prstGeom prst="bentConnector3">
          <a:avLst>
            <a:gd name="adj1" fmla="val 50000"/>
          </a:avLst>
        </a:prstGeom>
        <a:ln>
          <a:headEnd type="none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2</xdr:col>
      <xdr:colOff>27318</xdr:colOff>
      <xdr:row>18</xdr:row>
      <xdr:rowOff>125649</xdr:rowOff>
    </xdr:from>
    <xdr:ext cx="1463542" cy="759182"/>
    <xdr:sp macro="" textlink="">
      <xdr:nvSpPr>
        <xdr:cNvPr id="36" name="業務ｽﾍﾟｼｬﾘｽﾄﾏｽﾀ">
          <a:extLst>
            <a:ext uri="{FF2B5EF4-FFF2-40B4-BE49-F238E27FC236}">
              <a16:creationId xmlns:a16="http://schemas.microsoft.com/office/drawing/2014/main" id="{00000000-0008-0000-0300-000024000000}"/>
            </a:ext>
          </a:extLst>
        </xdr:cNvPr>
        <xdr:cNvSpPr txBox="1"/>
      </xdr:nvSpPr>
      <xdr:spPr>
        <a:xfrm>
          <a:off x="811730" y="3151237"/>
          <a:ext cx="1463542" cy="759182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>
          <a:solidFill>
            <a:srgbClr val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ja-JP" altLang="en-US" sz="1000">
              <a:latin typeface="+mn-ea"/>
              <a:ea typeface="+mn-ea"/>
            </a:rPr>
            <a:t>＜業務ｽﾍﾟｼｬﾘｽﾄﾏｽﾀ＞</a:t>
          </a:r>
          <a:endParaRPr kumimoji="1" lang="ja-JP" altLang="en-US" sz="1000" u="words">
            <a:latin typeface="+mn-ea"/>
            <a:ea typeface="+mn-ea"/>
          </a:endParaRPr>
        </a:p>
        <a:p>
          <a:r>
            <a:rPr kumimoji="1" lang="ja-JP" altLang="en-US" sz="1000" u="words">
              <a:latin typeface="+mn-ea"/>
              <a:ea typeface="+mn-ea"/>
            </a:rPr>
            <a:t>ﾃﾞｰﾀ種別</a:t>
          </a:r>
          <a:r>
            <a:rPr kumimoji="1" lang="en-US" altLang="ja-JP" sz="1000" u="words">
              <a:latin typeface="+mn-ea"/>
              <a:ea typeface="+mn-ea"/>
            </a:rPr>
            <a:t>ID</a:t>
          </a:r>
        </a:p>
        <a:p>
          <a:r>
            <a:rPr kumimoji="1" lang="ja-JP" altLang="en-US" sz="1000" u="words">
              <a:latin typeface="+mn-ea"/>
              <a:ea typeface="+mn-ea"/>
            </a:rPr>
            <a:t>業務ｽﾍﾟｼｬﾘｽﾄ</a:t>
          </a:r>
          <a:r>
            <a:rPr kumimoji="1" lang="en-US" altLang="ja-JP" sz="1000" u="words">
              <a:latin typeface="+mn-ea"/>
              <a:ea typeface="+mn-ea"/>
            </a:rPr>
            <a:t>ID</a:t>
          </a:r>
        </a:p>
        <a:p>
          <a:r>
            <a:rPr kumimoji="1" lang="ja-JP" altLang="en-US" sz="1000">
              <a:latin typeface="+mn-ea"/>
              <a:ea typeface="+mn-ea"/>
            </a:rPr>
            <a:t>業務ｽﾍﾟｼｬﾘｽﾄ名称</a:t>
          </a:r>
        </a:p>
      </xdr:txBody>
    </xdr:sp>
    <xdr:clientData/>
  </xdr:oneCellAnchor>
  <xdr:oneCellAnchor>
    <xdr:from>
      <xdr:col>12</xdr:col>
      <xdr:colOff>19798</xdr:colOff>
      <xdr:row>25</xdr:row>
      <xdr:rowOff>50861</xdr:rowOff>
    </xdr:from>
    <xdr:ext cx="1286763" cy="759182"/>
    <xdr:sp macro="" textlink="">
      <xdr:nvSpPr>
        <xdr:cNvPr id="37" name="ｲﾝｼﾃﾞﾝﾄ緊急度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4706098" y="4333936"/>
          <a:ext cx="1286763" cy="759182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>
          <a:solidFill>
            <a:srgbClr val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ja-JP" altLang="en-US" sz="1000">
              <a:latin typeface="+mn-ea"/>
              <a:ea typeface="+mn-ea"/>
            </a:rPr>
            <a:t>＜ｲﾝｼﾃﾞﾝﾄ緊急度＞</a:t>
          </a:r>
          <a:endParaRPr kumimoji="1" lang="ja-JP" altLang="en-US" sz="1000" u="words">
            <a:latin typeface="+mn-ea"/>
            <a:ea typeface="+mn-ea"/>
          </a:endParaRPr>
        </a:p>
        <a:p>
          <a:r>
            <a:rPr kumimoji="1" lang="ja-JP" altLang="en-US" sz="1000" u="words">
              <a:latin typeface="+mn-ea"/>
              <a:ea typeface="+mn-ea"/>
            </a:rPr>
            <a:t>ｹｰｽ管理</a:t>
          </a:r>
          <a:r>
            <a:rPr kumimoji="1" lang="en-US" altLang="ja-JP" sz="1000" u="words">
              <a:latin typeface="+mn-ea"/>
              <a:ea typeface="+mn-ea"/>
            </a:rPr>
            <a:t>ID</a:t>
          </a:r>
        </a:p>
        <a:p>
          <a:r>
            <a:rPr kumimoji="1" lang="ja-JP" altLang="en-US" sz="1000">
              <a:latin typeface="+mn-ea"/>
              <a:ea typeface="+mn-ea"/>
            </a:rPr>
            <a:t>起票日時</a:t>
          </a:r>
        </a:p>
        <a:p>
          <a:r>
            <a:rPr kumimoji="1" lang="ja-JP" altLang="en-US" sz="1000">
              <a:latin typeface="+mn-ea"/>
              <a:ea typeface="+mn-ea"/>
            </a:rPr>
            <a:t>解決日時</a:t>
          </a:r>
        </a:p>
      </xdr:txBody>
    </xdr:sp>
    <xdr:clientData/>
  </xdr:oneCellAnchor>
  <xdr:oneCellAnchor>
    <xdr:from>
      <xdr:col>7</xdr:col>
      <xdr:colOff>84961</xdr:colOff>
      <xdr:row>24</xdr:row>
      <xdr:rowOff>126068</xdr:rowOff>
    </xdr:from>
    <xdr:ext cx="1312732" cy="925894"/>
    <xdr:sp macro="" textlink="">
      <xdr:nvSpPr>
        <xdr:cNvPr id="38" name="ｴｽｶ緊急度">
          <a:extLst>
            <a:ext uri="{FF2B5EF4-FFF2-40B4-BE49-F238E27FC236}">
              <a16:creationId xmlns:a16="http://schemas.microsoft.com/office/drawing/2014/main" id="{00000000-0008-0000-0300-000026000000}"/>
            </a:ext>
          </a:extLst>
        </xdr:cNvPr>
        <xdr:cNvSpPr txBox="1"/>
      </xdr:nvSpPr>
      <xdr:spPr>
        <a:xfrm>
          <a:off x="2821811" y="4237693"/>
          <a:ext cx="1312732" cy="925894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>
          <a:solidFill>
            <a:srgbClr val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ja-JP" altLang="en-US" sz="1000">
              <a:latin typeface="+mn-ea"/>
              <a:ea typeface="+mn-ea"/>
            </a:rPr>
            <a:t>＜ｴｽｶ緊急度＞</a:t>
          </a:r>
          <a:endParaRPr kumimoji="1" lang="ja-JP" altLang="en-US" sz="1000" u="words">
            <a:latin typeface="+mn-ea"/>
            <a:ea typeface="+mn-ea"/>
          </a:endParaRPr>
        </a:p>
        <a:p>
          <a:r>
            <a:rPr kumimoji="1" lang="ja-JP" altLang="en-US" sz="1000" u="words">
              <a:latin typeface="+mn-ea"/>
              <a:ea typeface="+mn-ea"/>
            </a:rPr>
            <a:t>ｹｰｽ管理</a:t>
          </a:r>
          <a:r>
            <a:rPr kumimoji="1" lang="en-US" altLang="ja-JP" sz="1000" u="words">
              <a:latin typeface="+mn-ea"/>
              <a:ea typeface="+mn-ea"/>
            </a:rPr>
            <a:t>ID</a:t>
          </a:r>
        </a:p>
        <a:p>
          <a:r>
            <a:rPr kumimoji="1" lang="ja-JP" altLang="en-US" sz="1000" u="words">
              <a:latin typeface="+mn-ea"/>
              <a:ea typeface="+mn-ea"/>
            </a:rPr>
            <a:t>ｴｽｶ先</a:t>
          </a:r>
          <a:r>
            <a:rPr kumimoji="1" lang="en-US" altLang="ja-JP" sz="1000" u="words">
              <a:latin typeface="+mn-ea"/>
              <a:ea typeface="+mn-ea"/>
            </a:rPr>
            <a:t>ID</a:t>
          </a:r>
        </a:p>
        <a:p>
          <a:r>
            <a:rPr kumimoji="1" lang="ja-JP" altLang="en-US" sz="1000">
              <a:latin typeface="+mn-ea"/>
              <a:ea typeface="+mn-ea"/>
            </a:rPr>
            <a:t>受け取り日時</a:t>
          </a:r>
        </a:p>
        <a:p>
          <a:r>
            <a:rPr kumimoji="1" lang="ja-JP" altLang="en-US" sz="1000">
              <a:latin typeface="+mn-ea"/>
              <a:ea typeface="+mn-ea"/>
            </a:rPr>
            <a:t>差戻</a:t>
          </a:r>
          <a:r>
            <a:rPr kumimoji="1" lang="en-US" altLang="ja-JP" sz="1000">
              <a:latin typeface="+mn-ea"/>
              <a:ea typeface="+mn-ea"/>
            </a:rPr>
            <a:t>/</a:t>
          </a:r>
          <a:r>
            <a:rPr kumimoji="1" lang="ja-JP" altLang="en-US" sz="1000">
              <a:latin typeface="+mn-ea"/>
              <a:ea typeface="+mn-ea"/>
            </a:rPr>
            <a:t>返却</a:t>
          </a:r>
          <a:r>
            <a:rPr kumimoji="1" lang="en-US" altLang="ja-JP" sz="1000">
              <a:latin typeface="+mn-ea"/>
              <a:ea typeface="+mn-ea"/>
            </a:rPr>
            <a:t>/</a:t>
          </a:r>
          <a:r>
            <a:rPr kumimoji="1" lang="ja-JP" altLang="en-US" sz="1000">
              <a:latin typeface="+mn-ea"/>
              <a:ea typeface="+mn-ea"/>
            </a:rPr>
            <a:t>ｴｽｶ日時</a:t>
          </a:r>
        </a:p>
      </xdr:txBody>
    </xdr:sp>
    <xdr:clientData/>
  </xdr:oneCellAnchor>
  <xdr:oneCellAnchor>
    <xdr:from>
      <xdr:col>11</xdr:col>
      <xdr:colOff>293687</xdr:colOff>
      <xdr:row>31</xdr:row>
      <xdr:rowOff>97227</xdr:rowOff>
    </xdr:from>
    <xdr:ext cx="1513684" cy="925894"/>
    <xdr:sp macro="" textlink="">
      <xdr:nvSpPr>
        <xdr:cNvPr id="39" name="ｲﾝｼﾃﾞﾝﾄ緊急度ﾏｽﾀ">
          <a:extLs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SpPr txBox="1"/>
      </xdr:nvSpPr>
      <xdr:spPr>
        <a:xfrm>
          <a:off x="4607952" y="5307962"/>
          <a:ext cx="1513684" cy="925894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>
          <a:solidFill>
            <a:srgbClr val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ja-JP" altLang="en-US" sz="1000">
              <a:latin typeface="+mn-ea"/>
              <a:ea typeface="+mn-ea"/>
            </a:rPr>
            <a:t>＜ｲﾝｼﾃﾞﾝﾄ緊急度ﾏｽﾀ＞</a:t>
          </a:r>
          <a:endParaRPr kumimoji="1" lang="ja-JP" altLang="en-US" sz="1000" u="words">
            <a:latin typeface="+mn-ea"/>
            <a:ea typeface="+mn-ea"/>
          </a:endParaRPr>
        </a:p>
        <a:p>
          <a:r>
            <a:rPr kumimoji="1" lang="ja-JP" altLang="en-US" sz="1000" u="words">
              <a:latin typeface="+mn-ea"/>
              <a:ea typeface="+mn-ea"/>
            </a:rPr>
            <a:t>算出ﾛｼﾞｯｸ</a:t>
          </a:r>
          <a:r>
            <a:rPr kumimoji="1" lang="en-US" altLang="ja-JP" sz="1000" u="words">
              <a:latin typeface="+mn-ea"/>
              <a:ea typeface="+mn-ea"/>
            </a:rPr>
            <a:t>ID</a:t>
          </a:r>
        </a:p>
        <a:p>
          <a:r>
            <a:rPr kumimoji="1" lang="ja-JP" altLang="en-US" sz="1000">
              <a:latin typeface="+mn-ea"/>
              <a:ea typeface="+mn-ea"/>
            </a:rPr>
            <a:t>起票からの期限</a:t>
          </a:r>
          <a:r>
            <a:rPr kumimoji="1" lang="en-US" altLang="ja-JP" sz="1000">
              <a:latin typeface="+mn-ea"/>
              <a:ea typeface="+mn-ea"/>
            </a:rPr>
            <a:t>1(hr)</a:t>
          </a:r>
        </a:p>
        <a:p>
          <a:r>
            <a:rPr kumimoji="1" lang="ja-JP" altLang="en-US" sz="1000">
              <a:latin typeface="+mn-ea"/>
              <a:ea typeface="+mn-ea"/>
            </a:rPr>
            <a:t>起票からの期限</a:t>
          </a:r>
          <a:r>
            <a:rPr kumimoji="1" lang="en-US" altLang="ja-JP" sz="1000">
              <a:latin typeface="+mn-ea"/>
              <a:ea typeface="+mn-ea"/>
            </a:rPr>
            <a:t>2(hr)</a:t>
          </a:r>
        </a:p>
        <a:p>
          <a:r>
            <a:rPr kumimoji="1" lang="ja-JP" altLang="en-US" sz="1000">
              <a:latin typeface="+mn-ea"/>
              <a:ea typeface="+mn-ea"/>
            </a:rPr>
            <a:t>起票からの期限</a:t>
          </a:r>
          <a:r>
            <a:rPr kumimoji="1" lang="en-US" altLang="ja-JP" sz="1000">
              <a:latin typeface="+mn-ea"/>
              <a:ea typeface="+mn-ea"/>
            </a:rPr>
            <a:t>3(hr)</a:t>
          </a:r>
          <a:endParaRPr kumimoji="1" lang="ja-JP" altLang="en-US" sz="1000">
            <a:latin typeface="+mn-ea"/>
            <a:ea typeface="+mn-ea"/>
          </a:endParaRPr>
        </a:p>
      </xdr:txBody>
    </xdr:sp>
    <xdr:clientData/>
  </xdr:oneCellAnchor>
  <xdr:twoCellAnchor>
    <xdr:from>
      <xdr:col>10</xdr:col>
      <xdr:colOff>224250</xdr:colOff>
      <xdr:row>27</xdr:row>
      <xdr:rowOff>81577</xdr:rowOff>
    </xdr:from>
    <xdr:to>
      <xdr:col>12</xdr:col>
      <xdr:colOff>19798</xdr:colOff>
      <xdr:row>27</xdr:row>
      <xdr:rowOff>91102</xdr:rowOff>
    </xdr:to>
    <xdr:cxnSp macro="">
      <xdr:nvCxnSpPr>
        <xdr:cNvPr id="41" name="カギ線コネクタ 49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CxnSpPr>
          <a:cxnSpLocks/>
          <a:stCxn id="37" idx="1"/>
          <a:endCxn id="38" idx="3"/>
        </xdr:cNvCxnSpPr>
      </xdr:nvCxnSpPr>
      <xdr:spPr>
        <a:xfrm rot="10800000">
          <a:off x="4126325" y="4713902"/>
          <a:ext cx="579773" cy="3175"/>
        </a:xfrm>
        <a:prstGeom prst="bentConnector3">
          <a:avLst>
            <a:gd name="adj1" fmla="val 50000"/>
          </a:avLst>
        </a:prstGeom>
        <a:ln>
          <a:headEnd type="none"/>
          <a:tailEnd type="arrow" w="lg" len="lg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269293</xdr:colOff>
      <xdr:row>29</xdr:row>
      <xdr:rowOff>134515</xdr:rowOff>
    </xdr:from>
    <xdr:to>
      <xdr:col>13</xdr:col>
      <xdr:colOff>270975</xdr:colOff>
      <xdr:row>31</xdr:row>
      <xdr:rowOff>97227</xdr:rowOff>
    </xdr:to>
    <xdr:cxnSp macro="">
      <xdr:nvCxnSpPr>
        <xdr:cNvPr id="42" name="カギ線コネクタ 49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CxnSpPr>
          <a:cxnSpLocks/>
          <a:stCxn id="37" idx="2"/>
          <a:endCxn id="39" idx="0"/>
        </xdr:cNvCxnSpPr>
      </xdr:nvCxnSpPr>
      <xdr:spPr>
        <a:xfrm rot="5400000">
          <a:off x="5219366" y="5157677"/>
          <a:ext cx="298888" cy="1682"/>
        </a:xfrm>
        <a:prstGeom prst="bentConnector3">
          <a:avLst>
            <a:gd name="adj1" fmla="val 50000"/>
          </a:avLst>
        </a:prstGeom>
        <a:ln>
          <a:headEnd type="arrow"/>
          <a:tailEnd type="none" w="lg" len="lg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352296</xdr:colOff>
      <xdr:row>30</xdr:row>
      <xdr:rowOff>40257</xdr:rowOff>
    </xdr:from>
    <xdr:to>
      <xdr:col>8</xdr:col>
      <xdr:colOff>360257</xdr:colOff>
      <xdr:row>31</xdr:row>
      <xdr:rowOff>18676</xdr:rowOff>
    </xdr:to>
    <xdr:cxnSp macro="">
      <xdr:nvCxnSpPr>
        <xdr:cNvPr id="43" name="カギ線コネクタ 49">
          <a:extLst>
            <a:ext uri="{FF2B5EF4-FFF2-40B4-BE49-F238E27FC236}">
              <a16:creationId xmlns:a16="http://schemas.microsoft.com/office/drawing/2014/main" id="{00000000-0008-0000-0300-00002B000000}"/>
            </a:ext>
          </a:extLst>
        </xdr:cNvPr>
        <xdr:cNvCxnSpPr>
          <a:cxnSpLocks/>
          <a:stCxn id="38" idx="2"/>
          <a:endCxn id="29" idx="0"/>
        </xdr:cNvCxnSpPr>
      </xdr:nvCxnSpPr>
      <xdr:spPr>
        <a:xfrm rot="16200000" flipH="1">
          <a:off x="3420670" y="5152177"/>
          <a:ext cx="146507" cy="7961"/>
        </a:xfrm>
        <a:prstGeom prst="bentConnector3">
          <a:avLst>
            <a:gd name="adj1" fmla="val 50000"/>
          </a:avLst>
        </a:prstGeom>
        <a:ln>
          <a:headEnd type="arrow"/>
          <a:tailEnd type="none" w="lg" len="lg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370059</xdr:colOff>
      <xdr:row>17</xdr:row>
      <xdr:rowOff>145249</xdr:rowOff>
    </xdr:from>
    <xdr:to>
      <xdr:col>3</xdr:col>
      <xdr:colOff>376410</xdr:colOff>
      <xdr:row>18</xdr:row>
      <xdr:rowOff>122474</xdr:rowOff>
    </xdr:to>
    <xdr:cxnSp macro="">
      <xdr:nvCxnSpPr>
        <xdr:cNvPr id="44" name="カギ線コネクタ 49">
          <a:extLst>
            <a:ext uri="{FF2B5EF4-FFF2-40B4-BE49-F238E27FC236}">
              <a16:creationId xmlns:a16="http://schemas.microsoft.com/office/drawing/2014/main" id="{00000000-0008-0000-0300-00002C000000}"/>
            </a:ext>
          </a:extLst>
        </xdr:cNvPr>
        <xdr:cNvCxnSpPr>
          <a:cxnSpLocks/>
          <a:stCxn id="46" idx="2"/>
          <a:endCxn id="36" idx="0"/>
        </xdr:cNvCxnSpPr>
      </xdr:nvCxnSpPr>
      <xdr:spPr>
        <a:xfrm rot="5400000">
          <a:off x="1477196" y="3072230"/>
          <a:ext cx="145313" cy="6351"/>
        </a:xfrm>
        <a:prstGeom prst="bentConnector3">
          <a:avLst>
            <a:gd name="adj1" fmla="val 50000"/>
          </a:avLst>
        </a:prstGeom>
        <a:ln>
          <a:headEnd type="none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355472</xdr:colOff>
      <xdr:row>10</xdr:row>
      <xdr:rowOff>53023</xdr:rowOff>
    </xdr:from>
    <xdr:to>
      <xdr:col>19</xdr:col>
      <xdr:colOff>218769</xdr:colOff>
      <xdr:row>10</xdr:row>
      <xdr:rowOff>65723</xdr:rowOff>
    </xdr:to>
    <xdr:cxnSp macro="">
      <xdr:nvCxnSpPr>
        <xdr:cNvPr id="45" name="カギ線コネクタ 49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CxnSpPr>
          <a:cxnSpLocks/>
          <a:stCxn id="33" idx="0"/>
          <a:endCxn id="26" idx="0"/>
        </xdr:cNvCxnSpPr>
      </xdr:nvCxnSpPr>
      <xdr:spPr>
        <a:xfrm rot="16200000" flipV="1">
          <a:off x="5575550" y="-348526"/>
          <a:ext cx="12700" cy="4177562"/>
        </a:xfrm>
        <a:prstGeom prst="bentConnector3">
          <a:avLst>
            <a:gd name="adj1" fmla="val 1800000"/>
          </a:avLst>
        </a:prstGeom>
        <a:ln>
          <a:headEnd type="none"/>
          <a:tailEnd type="none" w="lg" len="lg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2</xdr:col>
      <xdr:colOff>6353</xdr:colOff>
      <xdr:row>7</xdr:row>
      <xdr:rowOff>63500</xdr:rowOff>
    </xdr:from>
    <xdr:ext cx="1518173" cy="1759456"/>
    <xdr:sp macro="" textlink="">
      <xdr:nvSpPr>
        <xdr:cNvPr id="46" name="ﾃﾞｰﾀ種別IDﾏｽﾀ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790765" y="1240118"/>
          <a:ext cx="1518173" cy="1759456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>
          <a:solidFill>
            <a:srgbClr val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ja-JP" altLang="en-US" sz="1000">
              <a:latin typeface="+mn-ea"/>
              <a:ea typeface="+mn-ea"/>
            </a:rPr>
            <a:t>＜ﾃﾞｰﾀ種別</a:t>
          </a:r>
          <a:r>
            <a:rPr kumimoji="1" lang="en-US" altLang="ja-JP" sz="1000">
              <a:latin typeface="+mn-ea"/>
              <a:ea typeface="+mn-ea"/>
            </a:rPr>
            <a:t>ID</a:t>
          </a:r>
          <a:r>
            <a:rPr kumimoji="1" lang="ja-JP" altLang="en-US" sz="1000">
              <a:latin typeface="+mn-ea"/>
              <a:ea typeface="+mn-ea"/>
            </a:rPr>
            <a:t>ﾏｽﾀ＞</a:t>
          </a:r>
          <a:endParaRPr kumimoji="1" lang="ja-JP" altLang="en-US" sz="1000" u="words">
            <a:latin typeface="+mn-ea"/>
            <a:ea typeface="+mn-ea"/>
          </a:endParaRPr>
        </a:p>
        <a:p>
          <a:r>
            <a:rPr kumimoji="1" lang="ja-JP" altLang="en-US" sz="1000" u="words">
              <a:latin typeface="+mn-ea"/>
              <a:ea typeface="+mn-ea"/>
            </a:rPr>
            <a:t>ﾃﾞｰﾀ種別</a:t>
          </a:r>
          <a:r>
            <a:rPr kumimoji="1" lang="en-US" altLang="ja-JP" sz="1000" u="words">
              <a:latin typeface="+mn-ea"/>
              <a:ea typeface="+mn-ea"/>
            </a:rPr>
            <a:t>ID</a:t>
          </a:r>
        </a:p>
        <a:p>
          <a:r>
            <a:rPr kumimoji="1" lang="ja-JP" altLang="en-US" sz="1000">
              <a:latin typeface="+mn-ea"/>
              <a:ea typeface="+mn-ea"/>
            </a:rPr>
            <a:t>ｼｽﾃﾑｺｰﾄﾞ</a:t>
          </a:r>
        </a:p>
        <a:p>
          <a:r>
            <a:rPr kumimoji="1" lang="ja-JP" altLang="en-US" sz="1000">
              <a:latin typeface="+mn-ea"/>
              <a:ea typeface="+mn-ea"/>
            </a:rPr>
            <a:t>ｼｽﾃﾑ名称</a:t>
          </a:r>
        </a:p>
        <a:p>
          <a:r>
            <a:rPr kumimoji="1" lang="ja-JP" altLang="en-US" sz="1000">
              <a:latin typeface="+mn-ea"/>
              <a:ea typeface="+mn-ea"/>
            </a:rPr>
            <a:t>ｻﾌﾞｼｽﾃﾑｺｰﾄﾞ</a:t>
          </a:r>
        </a:p>
        <a:p>
          <a:r>
            <a:rPr kumimoji="1" lang="ja-JP" altLang="en-US" sz="1000">
              <a:latin typeface="+mn-ea"/>
              <a:ea typeface="+mn-ea"/>
            </a:rPr>
            <a:t>ｻﾌﾞｼｽﾃﾑ名称</a:t>
          </a:r>
        </a:p>
        <a:p>
          <a:r>
            <a:rPr kumimoji="1" lang="ja-JP" altLang="en-US" sz="1000">
              <a:latin typeface="+mn-ea"/>
              <a:ea typeface="+mn-ea"/>
            </a:rPr>
            <a:t>情報発生源</a:t>
          </a:r>
          <a:r>
            <a:rPr kumimoji="1" lang="en-US" altLang="ja-JP" sz="1000">
              <a:latin typeface="+mn-ea"/>
              <a:ea typeface="+mn-ea"/>
            </a:rPr>
            <a:t>ID</a:t>
          </a:r>
        </a:p>
        <a:p>
          <a:r>
            <a:rPr kumimoji="1" lang="ja-JP" altLang="en-US" sz="1000">
              <a:latin typeface="+mn-ea"/>
              <a:ea typeface="+mn-ea"/>
            </a:rPr>
            <a:t>情報発生源名称</a:t>
          </a:r>
        </a:p>
        <a:p>
          <a:r>
            <a:rPr kumimoji="1" lang="ja-JP" altLang="en-US" sz="1000">
              <a:latin typeface="+mn-ea"/>
              <a:ea typeface="+mn-ea"/>
            </a:rPr>
            <a:t>算出ﾛｼﾞｯｸ</a:t>
          </a:r>
          <a:r>
            <a:rPr kumimoji="1" lang="en-US" altLang="ja-JP" sz="1000">
              <a:latin typeface="+mn-ea"/>
              <a:ea typeface="+mn-ea"/>
            </a:rPr>
            <a:t>ID</a:t>
          </a:r>
        </a:p>
        <a:p>
          <a:r>
            <a:rPr kumimoji="1" lang="ja-JP" altLang="en-US" sz="1000">
              <a:latin typeface="+mn-ea"/>
              <a:ea typeface="+mn-ea"/>
            </a:rPr>
            <a:t>ｲﾝｼﾃﾞﾝﾄ参照先画面</a:t>
          </a:r>
          <a:r>
            <a:rPr kumimoji="1" lang="en-US" altLang="ja-JP" sz="1000">
              <a:latin typeface="+mn-ea"/>
              <a:ea typeface="+mn-ea"/>
            </a:rPr>
            <a:t>URL</a:t>
          </a:r>
          <a:endParaRPr kumimoji="1" lang="ja-JP" altLang="en-US" sz="1000">
            <a:latin typeface="+mn-ea"/>
            <a:ea typeface="+mn-ea"/>
          </a:endParaRPr>
        </a:p>
      </xdr:txBody>
    </xdr:sp>
    <xdr:clientData/>
  </xdr:oneCellAnchor>
  <xdr:oneCellAnchor>
    <xdr:from>
      <xdr:col>12</xdr:col>
      <xdr:colOff>126413</xdr:colOff>
      <xdr:row>41</xdr:row>
      <xdr:rowOff>66464</xdr:rowOff>
    </xdr:from>
    <xdr:ext cx="1382814" cy="592470"/>
    <xdr:sp macro="" textlink="">
      <xdr:nvSpPr>
        <xdr:cNvPr id="52" name="経営ﾘｽｸｲﾝﾃﾞｯｸｽ">
          <a:extLst>
            <a:ext uri="{FF2B5EF4-FFF2-40B4-BE49-F238E27FC236}">
              <a16:creationId xmlns:a16="http://schemas.microsoft.com/office/drawing/2014/main" id="{00000000-0008-0000-0300-000034000000}"/>
            </a:ext>
          </a:extLst>
        </xdr:cNvPr>
        <xdr:cNvSpPr txBox="1"/>
      </xdr:nvSpPr>
      <xdr:spPr>
        <a:xfrm>
          <a:off x="4832884" y="6958082"/>
          <a:ext cx="1382814" cy="592470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>
          <a:solidFill>
            <a:srgbClr val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ja-JP" altLang="en-US" sz="1000">
              <a:latin typeface="+mn-ea"/>
              <a:ea typeface="+mn-ea"/>
            </a:rPr>
            <a:t>＜経営ﾘｽｸｲﾝﾃﾞｯｸｽ＞</a:t>
          </a:r>
          <a:endParaRPr kumimoji="1" lang="ja-JP" altLang="en-US" sz="1000" u="words">
            <a:latin typeface="+mn-ea"/>
            <a:ea typeface="+mn-ea"/>
          </a:endParaRPr>
        </a:p>
        <a:p>
          <a:r>
            <a:rPr kumimoji="1" lang="ja-JP" altLang="en-US" sz="1000" u="words">
              <a:latin typeface="+mn-ea"/>
              <a:ea typeface="+mn-ea"/>
            </a:rPr>
            <a:t>経営ﾘｽｸｲﾝﾃﾞｯｸｽ</a:t>
          </a:r>
        </a:p>
        <a:p>
          <a:r>
            <a:rPr kumimoji="1" lang="ja-JP" altLang="en-US" sz="1000" u="words">
              <a:latin typeface="+mn-ea"/>
              <a:ea typeface="+mn-ea"/>
            </a:rPr>
            <a:t>ｹｰｽ管理</a:t>
          </a:r>
          <a:r>
            <a:rPr kumimoji="1" lang="en-US" altLang="ja-JP" sz="1000" u="words">
              <a:latin typeface="+mn-ea"/>
              <a:ea typeface="+mn-ea"/>
            </a:rPr>
            <a:t>ID</a:t>
          </a:r>
          <a:endParaRPr kumimoji="1" lang="ja-JP" altLang="en-US" sz="1000" u="words">
            <a:latin typeface="+mn-ea"/>
            <a:ea typeface="+mn-ea"/>
          </a:endParaRPr>
        </a:p>
      </xdr:txBody>
    </xdr:sp>
    <xdr:clientData/>
  </xdr:oneCellAnchor>
  <xdr:oneCellAnchor>
    <xdr:from>
      <xdr:col>12</xdr:col>
      <xdr:colOff>39755</xdr:colOff>
      <xdr:row>40</xdr:row>
      <xdr:rowOff>130152</xdr:rowOff>
    </xdr:from>
    <xdr:ext cx="1382814" cy="592470"/>
    <xdr:sp macro="" textlink="">
      <xdr:nvSpPr>
        <xdr:cNvPr id="51" name="経営ﾘｽｸｲﾝﾃﾞｯｸｽ">
          <a:extLst>
            <a:ext uri="{FF2B5EF4-FFF2-40B4-BE49-F238E27FC236}">
              <a16:creationId xmlns:a16="http://schemas.microsoft.com/office/drawing/2014/main" id="{00000000-0008-0000-0300-000033000000}"/>
            </a:ext>
          </a:extLst>
        </xdr:cNvPr>
        <xdr:cNvSpPr txBox="1"/>
      </xdr:nvSpPr>
      <xdr:spPr>
        <a:xfrm>
          <a:off x="4746226" y="6853681"/>
          <a:ext cx="1382814" cy="592470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>
          <a:solidFill>
            <a:srgbClr val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ja-JP" altLang="en-US" sz="1000">
              <a:latin typeface="+mn-ea"/>
              <a:ea typeface="+mn-ea"/>
            </a:rPr>
            <a:t>＜経営ﾘｽｸｲﾝﾃﾞｯｸｽ＞</a:t>
          </a:r>
          <a:endParaRPr kumimoji="1" lang="ja-JP" altLang="en-US" sz="1000" u="words">
            <a:latin typeface="+mn-ea"/>
            <a:ea typeface="+mn-ea"/>
          </a:endParaRPr>
        </a:p>
        <a:p>
          <a:r>
            <a:rPr kumimoji="1" lang="ja-JP" altLang="en-US" sz="1000" u="words">
              <a:latin typeface="+mn-ea"/>
              <a:ea typeface="+mn-ea"/>
            </a:rPr>
            <a:t>経営ﾘｽｸｲﾝﾃﾞｯｸｽ</a:t>
          </a:r>
        </a:p>
        <a:p>
          <a:r>
            <a:rPr kumimoji="1" lang="ja-JP" altLang="en-US" sz="1000" u="words">
              <a:latin typeface="+mn-ea"/>
              <a:ea typeface="+mn-ea"/>
            </a:rPr>
            <a:t>ｹｰｽ管理</a:t>
          </a:r>
          <a:r>
            <a:rPr kumimoji="1" lang="en-US" altLang="ja-JP" sz="1000" u="words">
              <a:latin typeface="+mn-ea"/>
              <a:ea typeface="+mn-ea"/>
            </a:rPr>
            <a:t>ID</a:t>
          </a:r>
          <a:endParaRPr kumimoji="1" lang="ja-JP" altLang="en-US" sz="1000" u="words">
            <a:latin typeface="+mn-ea"/>
            <a:ea typeface="+mn-ea"/>
          </a:endParaRPr>
        </a:p>
      </xdr:txBody>
    </xdr:sp>
    <xdr:clientData/>
  </xdr:oneCellAnchor>
  <xdr:oneCellAnchor>
    <xdr:from>
      <xdr:col>11</xdr:col>
      <xdr:colOff>362297</xdr:colOff>
      <xdr:row>39</xdr:row>
      <xdr:rowOff>165988</xdr:rowOff>
    </xdr:from>
    <xdr:ext cx="1382814" cy="592470"/>
    <xdr:sp macro="" textlink="">
      <xdr:nvSpPr>
        <xdr:cNvPr id="30" name="経営ﾘｽｸｲﾝﾃﾞｯｸｽ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SpPr txBox="1"/>
      </xdr:nvSpPr>
      <xdr:spPr>
        <a:xfrm>
          <a:off x="4676562" y="6721429"/>
          <a:ext cx="1382814" cy="592470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>
          <a:solidFill>
            <a:srgbClr val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ja-JP" altLang="en-US" sz="1000">
              <a:latin typeface="+mn-ea"/>
              <a:ea typeface="+mn-ea"/>
            </a:rPr>
            <a:t>＜経営ﾘｽｸｲﾝﾃﾞｯｸｽ＞</a:t>
          </a:r>
          <a:endParaRPr kumimoji="1" lang="ja-JP" altLang="en-US" sz="1000" u="words">
            <a:latin typeface="+mn-ea"/>
            <a:ea typeface="+mn-ea"/>
          </a:endParaRPr>
        </a:p>
        <a:p>
          <a:r>
            <a:rPr kumimoji="1" lang="ja-JP" altLang="en-US" sz="1000" u="words">
              <a:latin typeface="+mn-ea"/>
              <a:ea typeface="+mn-ea"/>
            </a:rPr>
            <a:t>経営ﾘｽｸｲﾝﾃﾞｯｸｽ</a:t>
          </a:r>
        </a:p>
        <a:p>
          <a:r>
            <a:rPr kumimoji="1" lang="ja-JP" altLang="en-US" sz="1000" u="words">
              <a:latin typeface="+mn-ea"/>
              <a:ea typeface="+mn-ea"/>
            </a:rPr>
            <a:t>ｹｰｽ管理</a:t>
          </a:r>
          <a:r>
            <a:rPr kumimoji="1" lang="en-US" altLang="ja-JP" sz="1000" u="words">
              <a:latin typeface="+mn-ea"/>
              <a:ea typeface="+mn-ea"/>
            </a:rPr>
            <a:t>ID</a:t>
          </a:r>
          <a:endParaRPr kumimoji="1" lang="ja-JP" altLang="en-US" sz="1000" u="words">
            <a:latin typeface="+mn-ea"/>
            <a:ea typeface="+mn-ea"/>
          </a:endParaRPr>
        </a:p>
      </xdr:txBody>
    </xdr:sp>
    <xdr:clientData/>
  </xdr:oneCellAnchor>
  <xdr:twoCellAnchor>
    <xdr:from>
      <xdr:col>15</xdr:col>
      <xdr:colOff>176288</xdr:colOff>
      <xdr:row>41</xdr:row>
      <xdr:rowOff>122871</xdr:rowOff>
    </xdr:from>
    <xdr:to>
      <xdr:col>17</xdr:col>
      <xdr:colOff>172501</xdr:colOff>
      <xdr:row>41</xdr:row>
      <xdr:rowOff>129221</xdr:rowOff>
    </xdr:to>
    <xdr:cxnSp macro="">
      <xdr:nvCxnSpPr>
        <xdr:cNvPr id="10" name="カギ線コネクタ 33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>
          <a:cxnSpLocks/>
          <a:stCxn id="30" idx="3"/>
          <a:endCxn id="47" idx="1"/>
        </xdr:cNvCxnSpPr>
      </xdr:nvCxnSpPr>
      <xdr:spPr>
        <a:xfrm>
          <a:off x="6059376" y="7014489"/>
          <a:ext cx="780625" cy="6350"/>
        </a:xfrm>
        <a:prstGeom prst="bentConnector3">
          <a:avLst>
            <a:gd name="adj1" fmla="val 50000"/>
          </a:avLst>
        </a:prstGeom>
        <a:ln>
          <a:headEnd type="triangle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17</xdr:col>
      <xdr:colOff>335851</xdr:colOff>
      <xdr:row>40</xdr:row>
      <xdr:rowOff>85808</xdr:rowOff>
    </xdr:from>
    <xdr:ext cx="1642309" cy="759182"/>
    <xdr:sp macro="" textlink="">
      <xdr:nvSpPr>
        <xdr:cNvPr id="58" name="経営ﾘｽｸﾋﾞｭｰ">
          <a:extLst>
            <a:ext uri="{FF2B5EF4-FFF2-40B4-BE49-F238E27FC236}">
              <a16:creationId xmlns:a16="http://schemas.microsoft.com/office/drawing/2014/main" id="{00000000-0008-0000-0300-00003A000000}"/>
            </a:ext>
          </a:extLst>
        </xdr:cNvPr>
        <xdr:cNvSpPr txBox="1"/>
      </xdr:nvSpPr>
      <xdr:spPr>
        <a:xfrm>
          <a:off x="7003351" y="6809337"/>
          <a:ext cx="1642309" cy="759182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>
          <a:solidFill>
            <a:srgbClr val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ja-JP" altLang="en-US" sz="1000">
              <a:latin typeface="+mn-ea"/>
              <a:ea typeface="+mn-ea"/>
            </a:rPr>
            <a:t>＜経営ﾘｽｸﾋﾞｭｰ＞</a:t>
          </a:r>
          <a:endParaRPr kumimoji="1" lang="ja-JP" altLang="en-US" sz="1000" u="words">
            <a:latin typeface="+mn-ea"/>
            <a:ea typeface="+mn-ea"/>
          </a:endParaRPr>
        </a:p>
        <a:p>
          <a:r>
            <a:rPr kumimoji="1" lang="ja-JP" altLang="en-US" sz="1000" u="words">
              <a:latin typeface="+mn-ea"/>
              <a:ea typeface="+mn-ea"/>
            </a:rPr>
            <a:t>ｹｰｽ管理</a:t>
          </a:r>
          <a:r>
            <a:rPr kumimoji="1" lang="en-US" altLang="ja-JP" sz="1000" u="words">
              <a:latin typeface="+mn-ea"/>
              <a:ea typeface="+mn-ea"/>
            </a:rPr>
            <a:t>ID</a:t>
          </a:r>
        </a:p>
        <a:p>
          <a:r>
            <a:rPr kumimoji="1" lang="ja-JP" altLang="en-US" sz="1000">
              <a:latin typeface="+mn-ea"/>
              <a:ea typeface="+mn-ea"/>
            </a:rPr>
            <a:t>次に高いﾘｽｸのｹｰｽ管理</a:t>
          </a:r>
          <a:r>
            <a:rPr kumimoji="1" lang="en-US" altLang="ja-JP" sz="1000">
              <a:latin typeface="+mn-ea"/>
              <a:ea typeface="+mn-ea"/>
            </a:rPr>
            <a:t>ID</a:t>
          </a:r>
        </a:p>
        <a:p>
          <a:r>
            <a:rPr kumimoji="1" lang="ja-JP" altLang="en-US" sz="1000">
              <a:latin typeface="+mn-ea"/>
              <a:ea typeface="+mn-ea"/>
            </a:rPr>
            <a:t>次に低いﾘｽｸのｹｰｽ管理</a:t>
          </a:r>
          <a:r>
            <a:rPr kumimoji="1" lang="en-US" altLang="ja-JP" sz="1000">
              <a:latin typeface="+mn-ea"/>
              <a:ea typeface="+mn-ea"/>
            </a:rPr>
            <a:t>ID</a:t>
          </a:r>
          <a:endParaRPr kumimoji="1" lang="ja-JP" altLang="en-US" sz="1000">
            <a:latin typeface="+mn-ea"/>
            <a:ea typeface="+mn-ea"/>
          </a:endParaRPr>
        </a:p>
      </xdr:txBody>
    </xdr:sp>
    <xdr:clientData/>
  </xdr:oneCellAnchor>
  <xdr:oneCellAnchor>
    <xdr:from>
      <xdr:col>17</xdr:col>
      <xdr:colOff>254234</xdr:colOff>
      <xdr:row>40</xdr:row>
      <xdr:rowOff>4191</xdr:rowOff>
    </xdr:from>
    <xdr:ext cx="1642309" cy="759182"/>
    <xdr:sp macro="" textlink="">
      <xdr:nvSpPr>
        <xdr:cNvPr id="59" name="経営ﾘｽｸﾋﾞｭｰ">
          <a:extLst>
            <a:ext uri="{FF2B5EF4-FFF2-40B4-BE49-F238E27FC236}">
              <a16:creationId xmlns:a16="http://schemas.microsoft.com/office/drawing/2014/main" id="{00000000-0008-0000-0300-00003B000000}"/>
            </a:ext>
          </a:extLst>
        </xdr:cNvPr>
        <xdr:cNvSpPr txBox="1"/>
      </xdr:nvSpPr>
      <xdr:spPr>
        <a:xfrm>
          <a:off x="6921734" y="6727720"/>
          <a:ext cx="1642309" cy="759182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>
          <a:solidFill>
            <a:srgbClr val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ja-JP" altLang="en-US" sz="1000">
              <a:latin typeface="+mn-ea"/>
              <a:ea typeface="+mn-ea"/>
            </a:rPr>
            <a:t>＜経営ﾘｽｸﾋﾞｭｰ＞</a:t>
          </a:r>
          <a:endParaRPr kumimoji="1" lang="ja-JP" altLang="en-US" sz="1000" u="words">
            <a:latin typeface="+mn-ea"/>
            <a:ea typeface="+mn-ea"/>
          </a:endParaRPr>
        </a:p>
        <a:p>
          <a:r>
            <a:rPr kumimoji="1" lang="ja-JP" altLang="en-US" sz="1000" u="words">
              <a:latin typeface="+mn-ea"/>
              <a:ea typeface="+mn-ea"/>
            </a:rPr>
            <a:t>ｹｰｽ管理</a:t>
          </a:r>
          <a:r>
            <a:rPr kumimoji="1" lang="en-US" altLang="ja-JP" sz="1000" u="words">
              <a:latin typeface="+mn-ea"/>
              <a:ea typeface="+mn-ea"/>
            </a:rPr>
            <a:t>ID</a:t>
          </a:r>
        </a:p>
        <a:p>
          <a:r>
            <a:rPr kumimoji="1" lang="ja-JP" altLang="en-US" sz="1000">
              <a:latin typeface="+mn-ea"/>
              <a:ea typeface="+mn-ea"/>
            </a:rPr>
            <a:t>次に高いﾘｽｸのｹｰｽ管理</a:t>
          </a:r>
          <a:r>
            <a:rPr kumimoji="1" lang="en-US" altLang="ja-JP" sz="1000">
              <a:latin typeface="+mn-ea"/>
              <a:ea typeface="+mn-ea"/>
            </a:rPr>
            <a:t>ID</a:t>
          </a:r>
        </a:p>
        <a:p>
          <a:r>
            <a:rPr kumimoji="1" lang="ja-JP" altLang="en-US" sz="1000">
              <a:latin typeface="+mn-ea"/>
              <a:ea typeface="+mn-ea"/>
            </a:rPr>
            <a:t>次に低いﾘｽｸのｹｰｽ管理</a:t>
          </a:r>
          <a:r>
            <a:rPr kumimoji="1" lang="en-US" altLang="ja-JP" sz="1000">
              <a:latin typeface="+mn-ea"/>
              <a:ea typeface="+mn-ea"/>
            </a:rPr>
            <a:t>ID</a:t>
          </a:r>
          <a:endParaRPr kumimoji="1" lang="ja-JP" altLang="en-US" sz="1000">
            <a:latin typeface="+mn-ea"/>
            <a:ea typeface="+mn-ea"/>
          </a:endParaRPr>
        </a:p>
      </xdr:txBody>
    </xdr:sp>
    <xdr:clientData/>
  </xdr:oneCellAnchor>
  <xdr:oneCellAnchor>
    <xdr:from>
      <xdr:col>17</xdr:col>
      <xdr:colOff>172501</xdr:colOff>
      <xdr:row>39</xdr:row>
      <xdr:rowOff>82632</xdr:rowOff>
    </xdr:from>
    <xdr:ext cx="1642309" cy="759182"/>
    <xdr:sp macro="" textlink="">
      <xdr:nvSpPr>
        <xdr:cNvPr id="47" name="経営ﾘｽｸﾋﾞｭｰ">
          <a:extLst>
            <a:ext uri="{FF2B5EF4-FFF2-40B4-BE49-F238E27FC236}">
              <a16:creationId xmlns:a16="http://schemas.microsoft.com/office/drawing/2014/main" id="{00000000-0008-0000-0300-00002F000000}"/>
            </a:ext>
          </a:extLst>
        </xdr:cNvPr>
        <xdr:cNvSpPr txBox="1"/>
      </xdr:nvSpPr>
      <xdr:spPr>
        <a:xfrm>
          <a:off x="6840001" y="6638073"/>
          <a:ext cx="1642309" cy="759182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>
          <a:solidFill>
            <a:srgbClr val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ja-JP" altLang="en-US" sz="1000">
              <a:latin typeface="+mn-ea"/>
              <a:ea typeface="+mn-ea"/>
            </a:rPr>
            <a:t>＜経営ﾘｽｸﾋﾞｭｰ＞</a:t>
          </a:r>
          <a:endParaRPr kumimoji="1" lang="ja-JP" altLang="en-US" sz="1000" u="words">
            <a:latin typeface="+mn-ea"/>
            <a:ea typeface="+mn-ea"/>
          </a:endParaRPr>
        </a:p>
        <a:p>
          <a:r>
            <a:rPr kumimoji="1" lang="ja-JP" altLang="en-US" sz="1000" u="words">
              <a:latin typeface="+mn-ea"/>
              <a:ea typeface="+mn-ea"/>
            </a:rPr>
            <a:t>ｹｰｽ管理</a:t>
          </a:r>
          <a:r>
            <a:rPr kumimoji="1" lang="en-US" altLang="ja-JP" sz="1000" u="words">
              <a:latin typeface="+mn-ea"/>
              <a:ea typeface="+mn-ea"/>
            </a:rPr>
            <a:t>ID</a:t>
          </a:r>
        </a:p>
        <a:p>
          <a:r>
            <a:rPr kumimoji="1" lang="ja-JP" altLang="en-US" sz="1000">
              <a:latin typeface="+mn-ea"/>
              <a:ea typeface="+mn-ea"/>
            </a:rPr>
            <a:t>次に高いﾘｽｸのｹｰｽ管理</a:t>
          </a:r>
          <a:r>
            <a:rPr kumimoji="1" lang="en-US" altLang="ja-JP" sz="1000">
              <a:latin typeface="+mn-ea"/>
              <a:ea typeface="+mn-ea"/>
            </a:rPr>
            <a:t>ID</a:t>
          </a:r>
        </a:p>
        <a:p>
          <a:r>
            <a:rPr kumimoji="1" lang="ja-JP" altLang="en-US" sz="1000">
              <a:latin typeface="+mn-ea"/>
              <a:ea typeface="+mn-ea"/>
            </a:rPr>
            <a:t>次に低いﾘｽｸのｹｰｽ管理</a:t>
          </a:r>
          <a:r>
            <a:rPr kumimoji="1" lang="en-US" altLang="ja-JP" sz="1000">
              <a:latin typeface="+mn-ea"/>
              <a:ea typeface="+mn-ea"/>
            </a:rPr>
            <a:t>ID</a:t>
          </a:r>
          <a:endParaRPr kumimoji="1" lang="ja-JP" altLang="en-US" sz="1000">
            <a:latin typeface="+mn-ea"/>
            <a:ea typeface="+mn-ea"/>
          </a:endParaRPr>
        </a:p>
      </xdr:txBody>
    </xdr:sp>
    <xdr:clientData/>
  </xdr:oneCellAnchor>
  <xdr:twoCellAnchor>
    <xdr:from>
      <xdr:col>20</xdr:col>
      <xdr:colOff>303582</xdr:colOff>
      <xdr:row>21</xdr:row>
      <xdr:rowOff>974</xdr:rowOff>
    </xdr:from>
    <xdr:to>
      <xdr:col>21</xdr:col>
      <xdr:colOff>154833</xdr:colOff>
      <xdr:row>21</xdr:row>
      <xdr:rowOff>7325</xdr:rowOff>
    </xdr:to>
    <xdr:cxnSp macro="">
      <xdr:nvCxnSpPr>
        <xdr:cNvPr id="24" name="カギ線コネクタ 49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CxnSpPr>
          <a:cxnSpLocks/>
          <a:stCxn id="27" idx="1"/>
          <a:endCxn id="60" idx="3"/>
        </xdr:cNvCxnSpPr>
      </xdr:nvCxnSpPr>
      <xdr:spPr>
        <a:xfrm rot="10800000" flipV="1">
          <a:off x="8147700" y="3530827"/>
          <a:ext cx="243457" cy="6351"/>
        </a:xfrm>
        <a:prstGeom prst="bentConnector3">
          <a:avLst>
            <a:gd name="adj1" fmla="val 50000"/>
          </a:avLst>
        </a:prstGeom>
        <a:ln>
          <a:headEnd type="oval"/>
          <a:tailEnd type="none" w="lg" len="lg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206069</xdr:colOff>
      <xdr:row>38</xdr:row>
      <xdr:rowOff>19565</xdr:rowOff>
    </xdr:from>
    <xdr:to>
      <xdr:col>19</xdr:col>
      <xdr:colOff>209245</xdr:colOff>
      <xdr:row>39</xdr:row>
      <xdr:rowOff>85806</xdr:rowOff>
    </xdr:to>
    <xdr:cxnSp macro="">
      <xdr:nvCxnSpPr>
        <xdr:cNvPr id="54" name="カギ線コネクタ 49">
          <a:extLst>
            <a:ext uri="{FF2B5EF4-FFF2-40B4-BE49-F238E27FC236}">
              <a16:creationId xmlns:a16="http://schemas.microsoft.com/office/drawing/2014/main" id="{00000000-0008-0000-0300-000036000000}"/>
            </a:ext>
          </a:extLst>
        </xdr:cNvPr>
        <xdr:cNvCxnSpPr>
          <a:cxnSpLocks/>
          <a:stCxn id="61" idx="2"/>
          <a:endCxn id="47" idx="0"/>
        </xdr:cNvCxnSpPr>
      </xdr:nvCxnSpPr>
      <xdr:spPr>
        <a:xfrm rot="16200000" flipH="1">
          <a:off x="7542404" y="6522495"/>
          <a:ext cx="234329" cy="3176"/>
        </a:xfrm>
        <a:prstGeom prst="bentConnector3">
          <a:avLst>
            <a:gd name="adj1" fmla="val 50000"/>
          </a:avLst>
        </a:prstGeom>
        <a:ln>
          <a:headEnd type="none"/>
          <a:tailEnd type="oval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18</xdr:col>
      <xdr:colOff>114906</xdr:colOff>
      <xdr:row>17</xdr:row>
      <xdr:rowOff>46844</xdr:rowOff>
    </xdr:from>
    <xdr:ext cx="973087" cy="1259319"/>
    <xdr:sp macro="" textlink="">
      <xdr:nvSpPr>
        <xdr:cNvPr id="60" name="ﾘｽｸﾎﾟｲﾝﾄ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7174612" y="2904344"/>
          <a:ext cx="973087" cy="125931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>
          <a:solidFill>
            <a:srgbClr val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ja-JP" altLang="en-US" sz="1000">
              <a:latin typeface="+mn-ea"/>
              <a:ea typeface="+mn-ea"/>
            </a:rPr>
            <a:t>＜ﾘｽｸﾎﾟｲﾝﾄ＞</a:t>
          </a:r>
          <a:endParaRPr kumimoji="1" lang="ja-JP" altLang="en-US" sz="1000" u="words">
            <a:latin typeface="+mn-ea"/>
            <a:ea typeface="+mn-ea"/>
          </a:endParaRPr>
        </a:p>
        <a:p>
          <a:r>
            <a:rPr kumimoji="1" lang="ja-JP" altLang="en-US" sz="1000" u="words">
              <a:latin typeface="+mn-ea"/>
              <a:ea typeface="+mn-ea"/>
            </a:rPr>
            <a:t>ｹｰｽ管理</a:t>
          </a:r>
          <a:r>
            <a:rPr kumimoji="1" lang="en-US" altLang="ja-JP" sz="1000" u="words">
              <a:latin typeface="+mn-ea"/>
              <a:ea typeface="+mn-ea"/>
            </a:rPr>
            <a:t>ID</a:t>
          </a:r>
        </a:p>
        <a:p>
          <a:r>
            <a:rPr kumimoji="1" lang="ja-JP" altLang="en-US" sz="1000">
              <a:latin typeface="+mn-ea"/>
              <a:ea typeface="+mn-ea"/>
            </a:rPr>
            <a:t>ﾀｲﾄﾙ</a:t>
          </a:r>
        </a:p>
        <a:p>
          <a:r>
            <a:rPr kumimoji="1" lang="ja-JP" altLang="en-US" sz="1000">
              <a:latin typeface="+mn-ea"/>
              <a:ea typeface="+mn-ea"/>
            </a:rPr>
            <a:t>本文</a:t>
          </a:r>
          <a:endParaRPr kumimoji="1" lang="en-US" altLang="ja-JP" sz="1000">
            <a:latin typeface="+mn-ea"/>
            <a:ea typeface="+mn-ea"/>
          </a:endParaRPr>
        </a:p>
        <a:p>
          <a:r>
            <a:rPr kumimoji="1" lang="ja-JP" altLang="en-US" sz="1000">
              <a:latin typeface="+mn-ea"/>
              <a:ea typeface="+mn-ea"/>
            </a:rPr>
            <a:t>説明変数</a:t>
          </a:r>
          <a:r>
            <a:rPr kumimoji="1" lang="en-US" altLang="ja-JP" sz="1000">
              <a:latin typeface="+mn-ea"/>
              <a:ea typeface="+mn-ea"/>
            </a:rPr>
            <a:t>a</a:t>
          </a:r>
        </a:p>
        <a:p>
          <a:r>
            <a:rPr kumimoji="1" lang="ja-JP" altLang="en-US" sz="1000">
              <a:latin typeface="+mn-ea"/>
              <a:ea typeface="+mn-ea"/>
            </a:rPr>
            <a:t>説明変数</a:t>
          </a:r>
          <a:r>
            <a:rPr kumimoji="1" lang="en-US" altLang="ja-JP" sz="1000">
              <a:latin typeface="+mn-ea"/>
              <a:ea typeface="+mn-ea"/>
            </a:rPr>
            <a:t>z</a:t>
          </a:r>
        </a:p>
        <a:p>
          <a:r>
            <a:rPr kumimoji="1" lang="ja-JP" altLang="en-US" sz="1000">
              <a:latin typeface="+mn-ea"/>
              <a:ea typeface="+mn-ea"/>
            </a:rPr>
            <a:t>ﾘｽｸﾎﾟｲﾝﾄ</a:t>
          </a:r>
        </a:p>
      </xdr:txBody>
    </xdr:sp>
    <xdr:clientData/>
  </xdr:oneCellAnchor>
  <xdr:oneCellAnchor>
    <xdr:from>
      <xdr:col>18</xdr:col>
      <xdr:colOff>144465</xdr:colOff>
      <xdr:row>30</xdr:row>
      <xdr:rowOff>101778</xdr:rowOff>
    </xdr:from>
    <xdr:ext cx="913968" cy="1259319"/>
    <xdr:sp macro="" textlink="">
      <xdr:nvSpPr>
        <xdr:cNvPr id="61" name="経営ﾘｽｸ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7204171" y="5144425"/>
          <a:ext cx="913968" cy="125931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>
          <a:solidFill>
            <a:srgbClr val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ja-JP" altLang="en-US" sz="1000">
              <a:latin typeface="+mn-ea"/>
              <a:ea typeface="+mn-ea"/>
            </a:rPr>
            <a:t>＜経営ﾘｽｸ＞</a:t>
          </a:r>
          <a:endParaRPr kumimoji="1" lang="ja-JP" altLang="en-US" sz="1000" u="words">
            <a:latin typeface="+mn-ea"/>
            <a:ea typeface="+mn-ea"/>
          </a:endParaRPr>
        </a:p>
        <a:p>
          <a:r>
            <a:rPr kumimoji="1" lang="ja-JP" altLang="en-US" sz="1000" u="words">
              <a:latin typeface="+mn-ea"/>
              <a:ea typeface="+mn-ea"/>
            </a:rPr>
            <a:t>ｹｰｽ管理</a:t>
          </a:r>
          <a:r>
            <a:rPr kumimoji="1" lang="en-US" altLang="ja-JP" sz="1000" u="words">
              <a:latin typeface="+mn-ea"/>
              <a:ea typeface="+mn-ea"/>
            </a:rPr>
            <a:t>ID</a:t>
          </a:r>
        </a:p>
        <a:p>
          <a:r>
            <a:rPr kumimoji="1" lang="ja-JP" altLang="en-US" sz="1000">
              <a:latin typeface="+mn-ea"/>
              <a:ea typeface="+mn-ea"/>
            </a:rPr>
            <a:t>ﾘｽｸｽｺｱ</a:t>
          </a:r>
        </a:p>
        <a:p>
          <a:r>
            <a:rPr kumimoji="1" lang="ja-JP" altLang="en-US" sz="1000">
              <a:latin typeface="+mn-ea"/>
              <a:ea typeface="+mn-ea"/>
            </a:rPr>
            <a:t>いいね！</a:t>
          </a:r>
        </a:p>
        <a:p>
          <a:r>
            <a:rPr kumimoji="1" lang="ja-JP" altLang="en-US" sz="1000">
              <a:latin typeface="+mn-ea"/>
              <a:ea typeface="+mn-ea"/>
            </a:rPr>
            <a:t>いらない！</a:t>
          </a:r>
        </a:p>
        <a:p>
          <a:r>
            <a:rPr kumimoji="1" lang="ja-JP" altLang="en-US" sz="1000">
              <a:latin typeface="+mn-ea"/>
              <a:ea typeface="+mn-ea"/>
            </a:rPr>
            <a:t>関心度</a:t>
          </a:r>
        </a:p>
        <a:p>
          <a:r>
            <a:rPr kumimoji="1" lang="ja-JP" altLang="en-US" sz="1000">
              <a:latin typeface="+mn-ea"/>
              <a:ea typeface="+mn-ea"/>
            </a:rPr>
            <a:t>経営ﾘｽｸ</a:t>
          </a:r>
        </a:p>
      </xdr:txBody>
    </xdr:sp>
    <xdr:clientData/>
  </xdr:oneCellAnchor>
  <xdr:oneCellAnchor>
    <xdr:from>
      <xdr:col>6</xdr:col>
      <xdr:colOff>382120</xdr:colOff>
      <xdr:row>31</xdr:row>
      <xdr:rowOff>18677</xdr:rowOff>
    </xdr:from>
    <xdr:ext cx="1525097" cy="1259319"/>
    <xdr:sp macro="" textlink="">
      <xdr:nvSpPr>
        <xdr:cNvPr id="29" name="ｴｽｶ緊急度ﾏｽﾀ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2735355" y="5229412"/>
          <a:ext cx="1525097" cy="1259319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>
          <a:solidFill>
            <a:srgbClr val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ja-JP" altLang="en-US" sz="1000">
              <a:latin typeface="+mn-ea"/>
              <a:ea typeface="+mn-ea"/>
            </a:rPr>
            <a:t>＜ｴｽｶ緊急度ﾏｽﾀ＞</a:t>
          </a:r>
          <a:endParaRPr kumimoji="1" lang="ja-JP" altLang="en-US" sz="1000" u="words">
            <a:latin typeface="+mn-ea"/>
            <a:ea typeface="+mn-ea"/>
          </a:endParaRPr>
        </a:p>
        <a:p>
          <a:r>
            <a:rPr kumimoji="1" lang="ja-JP" altLang="en-US" sz="1000" u="words">
              <a:latin typeface="+mn-ea"/>
              <a:ea typeface="+mn-ea"/>
            </a:rPr>
            <a:t>算出ﾛｼﾞｯｸ</a:t>
          </a:r>
          <a:r>
            <a:rPr kumimoji="1" lang="en-US" altLang="ja-JP" sz="1000" u="words">
              <a:latin typeface="+mn-ea"/>
              <a:ea typeface="+mn-ea"/>
            </a:rPr>
            <a:t>ID</a:t>
          </a:r>
        </a:p>
        <a:p>
          <a:r>
            <a:rPr kumimoji="1" lang="ja-JP" altLang="en-US" sz="1000" u="words">
              <a:latin typeface="+mn-ea"/>
              <a:ea typeface="+mn-ea"/>
            </a:rPr>
            <a:t>ｴｽｶ先</a:t>
          </a:r>
          <a:r>
            <a:rPr kumimoji="1" lang="en-US" altLang="ja-JP" sz="1000" u="words">
              <a:latin typeface="+mn-ea"/>
              <a:ea typeface="+mn-ea"/>
            </a:rPr>
            <a:t>ID</a:t>
          </a:r>
        </a:p>
        <a:p>
          <a:r>
            <a:rPr kumimoji="1" lang="ja-JP" altLang="en-US" sz="1000">
              <a:latin typeface="+mn-ea"/>
              <a:ea typeface="+mn-ea"/>
            </a:rPr>
            <a:t>ｴｽｶ先</a:t>
          </a:r>
          <a:r>
            <a:rPr kumimoji="1" lang="en-US" altLang="ja-JP" sz="1000">
              <a:latin typeface="+mn-ea"/>
              <a:ea typeface="+mn-ea"/>
            </a:rPr>
            <a:t>ID</a:t>
          </a:r>
          <a:r>
            <a:rPr kumimoji="1" lang="ja-JP" altLang="en-US" sz="1000">
              <a:latin typeface="+mn-ea"/>
              <a:ea typeface="+mn-ea"/>
            </a:rPr>
            <a:t>先名称</a:t>
          </a:r>
        </a:p>
        <a:p>
          <a:r>
            <a:rPr kumimoji="1" lang="ja-JP" altLang="en-US" sz="1000">
              <a:latin typeface="+mn-ea"/>
              <a:ea typeface="+mn-ea"/>
            </a:rPr>
            <a:t>受け取りからの期限</a:t>
          </a:r>
          <a:r>
            <a:rPr kumimoji="1" lang="en-US" altLang="ja-JP" sz="1000">
              <a:latin typeface="+mn-ea"/>
              <a:ea typeface="+mn-ea"/>
            </a:rPr>
            <a:t>1(hr)</a:t>
          </a:r>
        </a:p>
        <a:p>
          <a:r>
            <a:rPr kumimoji="1" lang="ja-JP" altLang="en-US" sz="1000">
              <a:latin typeface="+mn-ea"/>
              <a:ea typeface="+mn-ea"/>
            </a:rPr>
            <a:t>受け取りからの期限</a:t>
          </a:r>
          <a:r>
            <a:rPr kumimoji="1" lang="en-US" altLang="ja-JP" sz="1000">
              <a:latin typeface="+mn-ea"/>
              <a:ea typeface="+mn-ea"/>
            </a:rPr>
            <a:t>2(hr)</a:t>
          </a:r>
        </a:p>
        <a:p>
          <a:r>
            <a:rPr kumimoji="1" lang="ja-JP" altLang="en-US" sz="1000">
              <a:latin typeface="+mn-ea"/>
              <a:ea typeface="+mn-ea"/>
            </a:rPr>
            <a:t>受け取りからの期限</a:t>
          </a:r>
          <a:r>
            <a:rPr kumimoji="1" lang="en-US" altLang="ja-JP" sz="1000">
              <a:latin typeface="+mn-ea"/>
              <a:ea typeface="+mn-ea"/>
            </a:rPr>
            <a:t>3(hr)</a:t>
          </a:r>
          <a:endParaRPr kumimoji="1" lang="ja-JP" altLang="en-US" sz="1000">
            <a:latin typeface="+mn-ea"/>
            <a:ea typeface="+mn-ea"/>
          </a:endParaRP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276225</xdr:colOff>
          <xdr:row>4</xdr:row>
          <xdr:rowOff>85725</xdr:rowOff>
        </xdr:from>
        <xdr:to>
          <xdr:col>23</xdr:col>
          <xdr:colOff>304800</xdr:colOff>
          <xdr:row>6</xdr:row>
          <xdr:rowOff>85725</xdr:rowOff>
        </xdr:to>
        <xdr:sp macro="" textlink="">
          <xdr:nvSpPr>
            <xdr:cNvPr id="50179" name="Button 3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04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テーブル一覧更新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123825</xdr:colOff>
          <xdr:row>17</xdr:row>
          <xdr:rowOff>66675</xdr:rowOff>
        </xdr:from>
        <xdr:to>
          <xdr:col>4</xdr:col>
          <xdr:colOff>295275</xdr:colOff>
          <xdr:row>19</xdr:row>
          <xdr:rowOff>19050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16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出力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123825</xdr:colOff>
          <xdr:row>24</xdr:row>
          <xdr:rowOff>66675</xdr:rowOff>
        </xdr:from>
        <xdr:to>
          <xdr:col>4</xdr:col>
          <xdr:colOff>295275</xdr:colOff>
          <xdr:row>26</xdr:row>
          <xdr:rowOff>19050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17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出力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lnDef>
      <a:spPr>
        <a:ln>
          <a:headEnd type="none"/>
          <a:tailEnd type="stealth" w="lg" len="lg"/>
        </a:ln>
      </a:spPr>
      <a:bodyPr/>
      <a:lstStyle/>
      <a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comments" Target="../comments1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4.v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3.xml"/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4.xml"/><Relationship Id="rId2" Type="http://schemas.openxmlformats.org/officeDocument/2006/relationships/vmlDrawing" Target="../drawings/vmlDrawing16.v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5.xml"/><Relationship Id="rId2" Type="http://schemas.openxmlformats.org/officeDocument/2006/relationships/vmlDrawing" Target="../drawings/vmlDrawing17.v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6.xml"/><Relationship Id="rId2" Type="http://schemas.openxmlformats.org/officeDocument/2006/relationships/vmlDrawing" Target="../drawings/vmlDrawing18.v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3.bin"/><Relationship Id="rId4" Type="http://schemas.openxmlformats.org/officeDocument/2006/relationships/ctrlProp" Target="../ctrlProps/ctrlProp4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4.bin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D3:V37"/>
  <sheetViews>
    <sheetView showGridLines="0" zoomScale="85" zoomScaleNormal="85" workbookViewId="0">
      <selection activeCell="I27" sqref="I27:S27"/>
    </sheetView>
  </sheetViews>
  <sheetFormatPr defaultColWidth="5.75" defaultRowHeight="13.5" x14ac:dyDescent="0.15"/>
  <cols>
    <col min="1" max="1" width="8.875" style="1" customWidth="1"/>
    <col min="2" max="16384" width="5.75" style="1"/>
  </cols>
  <sheetData>
    <row r="3" spans="4:22" x14ac:dyDescent="0.15">
      <c r="D3" s="225" t="s">
        <v>16</v>
      </c>
      <c r="E3" s="226"/>
      <c r="F3" s="226"/>
      <c r="G3" s="226"/>
      <c r="H3" s="226"/>
      <c r="I3" s="226"/>
      <c r="J3" s="226"/>
      <c r="K3" s="226"/>
      <c r="L3" s="226"/>
      <c r="M3" s="226"/>
      <c r="N3" s="226"/>
      <c r="O3" s="226"/>
      <c r="P3" s="226"/>
      <c r="Q3" s="226"/>
      <c r="R3" s="226"/>
      <c r="S3" s="226"/>
      <c r="T3" s="226"/>
      <c r="U3" s="226"/>
      <c r="V3" s="227"/>
    </row>
    <row r="4" spans="4:22" x14ac:dyDescent="0.15">
      <c r="D4" s="228"/>
      <c r="E4" s="229"/>
      <c r="F4" s="229"/>
      <c r="G4" s="229"/>
      <c r="H4" s="229"/>
      <c r="I4" s="229"/>
      <c r="J4" s="229"/>
      <c r="K4" s="229"/>
      <c r="L4" s="229"/>
      <c r="M4" s="229"/>
      <c r="N4" s="229"/>
      <c r="O4" s="229"/>
      <c r="P4" s="229"/>
      <c r="Q4" s="229"/>
      <c r="R4" s="229"/>
      <c r="S4" s="229"/>
      <c r="T4" s="229"/>
      <c r="U4" s="229"/>
      <c r="V4" s="230"/>
    </row>
    <row r="5" spans="4:22" x14ac:dyDescent="0.15"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</row>
    <row r="6" spans="4:22" x14ac:dyDescent="0.15"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</row>
    <row r="7" spans="4:22" x14ac:dyDescent="0.15">
      <c r="D7" s="222" t="s">
        <v>13</v>
      </c>
      <c r="E7" s="224"/>
      <c r="F7" s="224"/>
      <c r="G7" s="224"/>
      <c r="H7" s="223"/>
      <c r="I7" s="222" t="s">
        <v>0</v>
      </c>
      <c r="J7" s="224"/>
      <c r="K7" s="224"/>
      <c r="L7" s="224"/>
      <c r="M7" s="224"/>
      <c r="N7" s="224"/>
      <c r="O7" s="224"/>
      <c r="P7" s="224"/>
      <c r="Q7" s="224"/>
      <c r="R7" s="224"/>
      <c r="S7" s="224"/>
      <c r="T7" s="224"/>
      <c r="U7" s="224"/>
      <c r="V7" s="223"/>
    </row>
    <row r="8" spans="4:22" ht="13.5" customHeight="1" x14ac:dyDescent="0.15">
      <c r="D8" s="231"/>
      <c r="E8" s="232"/>
      <c r="F8" s="232"/>
      <c r="G8" s="232"/>
      <c r="H8" s="233"/>
      <c r="I8" s="231"/>
      <c r="J8" s="232"/>
      <c r="K8" s="232"/>
      <c r="L8" s="232"/>
      <c r="M8" s="232"/>
      <c r="N8" s="232"/>
      <c r="O8" s="232"/>
      <c r="P8" s="232"/>
      <c r="Q8" s="232"/>
      <c r="R8" s="232"/>
      <c r="S8" s="232"/>
      <c r="T8" s="232"/>
      <c r="U8" s="232"/>
      <c r="V8" s="233"/>
    </row>
    <row r="9" spans="4:22" ht="13.5" customHeight="1" x14ac:dyDescent="0.15">
      <c r="D9" s="234"/>
      <c r="E9" s="235"/>
      <c r="F9" s="235"/>
      <c r="G9" s="235"/>
      <c r="H9" s="236"/>
      <c r="I9" s="234"/>
      <c r="J9" s="235"/>
      <c r="K9" s="235"/>
      <c r="L9" s="235"/>
      <c r="M9" s="235"/>
      <c r="N9" s="235"/>
      <c r="O9" s="235"/>
      <c r="P9" s="235"/>
      <c r="Q9" s="235"/>
      <c r="R9" s="235"/>
      <c r="S9" s="235"/>
      <c r="T9" s="235"/>
      <c r="U9" s="235"/>
      <c r="V9" s="236"/>
    </row>
    <row r="10" spans="4:22" x14ac:dyDescent="0.15">
      <c r="D10" s="222" t="s">
        <v>14</v>
      </c>
      <c r="E10" s="224"/>
      <c r="F10" s="224"/>
      <c r="G10" s="224"/>
      <c r="H10" s="223"/>
      <c r="I10" s="222" t="s">
        <v>1</v>
      </c>
      <c r="J10" s="224"/>
      <c r="K10" s="224"/>
      <c r="L10" s="224"/>
      <c r="M10" s="224"/>
      <c r="N10" s="224"/>
      <c r="O10" s="224"/>
      <c r="P10" s="224"/>
      <c r="Q10" s="224"/>
      <c r="R10" s="224"/>
      <c r="S10" s="224"/>
      <c r="T10" s="224"/>
      <c r="U10" s="224"/>
      <c r="V10" s="223"/>
    </row>
    <row r="11" spans="4:22" ht="13.5" customHeight="1" x14ac:dyDescent="0.15">
      <c r="D11" s="231"/>
      <c r="E11" s="232"/>
      <c r="F11" s="232"/>
      <c r="G11" s="232"/>
      <c r="H11" s="233"/>
      <c r="I11" s="237"/>
      <c r="J11" s="238"/>
      <c r="K11" s="238"/>
      <c r="L11" s="238"/>
      <c r="M11" s="238"/>
      <c r="N11" s="238"/>
      <c r="O11" s="238"/>
      <c r="P11" s="238"/>
      <c r="Q11" s="238"/>
      <c r="R11" s="238"/>
      <c r="S11" s="238"/>
      <c r="T11" s="238"/>
      <c r="U11" s="238"/>
      <c r="V11" s="239"/>
    </row>
    <row r="12" spans="4:22" ht="13.5" customHeight="1" x14ac:dyDescent="0.15">
      <c r="D12" s="234"/>
      <c r="E12" s="235"/>
      <c r="F12" s="235"/>
      <c r="G12" s="235"/>
      <c r="H12" s="236"/>
      <c r="I12" s="240"/>
      <c r="J12" s="241"/>
      <c r="K12" s="241"/>
      <c r="L12" s="241"/>
      <c r="M12" s="241"/>
      <c r="N12" s="241"/>
      <c r="O12" s="241"/>
      <c r="P12" s="241"/>
      <c r="Q12" s="241"/>
      <c r="R12" s="241"/>
      <c r="S12" s="241"/>
      <c r="T12" s="241"/>
      <c r="U12" s="241"/>
      <c r="V12" s="242"/>
    </row>
    <row r="13" spans="4:22" x14ac:dyDescent="0.15"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</row>
    <row r="14" spans="4:22" x14ac:dyDescent="0.15"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</row>
    <row r="15" spans="4:22" x14ac:dyDescent="0.15"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</row>
    <row r="16" spans="4:22" x14ac:dyDescent="0.15">
      <c r="D16" s="20" t="s">
        <v>2</v>
      </c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</row>
    <row r="17" spans="4:22" x14ac:dyDescent="0.15">
      <c r="D17" s="222" t="s">
        <v>3</v>
      </c>
      <c r="E17" s="223"/>
      <c r="F17" s="222" t="s">
        <v>4</v>
      </c>
      <c r="G17" s="224"/>
      <c r="H17" s="223"/>
      <c r="I17" s="222" t="s">
        <v>12</v>
      </c>
      <c r="J17" s="224"/>
      <c r="K17" s="224"/>
      <c r="L17" s="224"/>
      <c r="M17" s="224"/>
      <c r="N17" s="224"/>
      <c r="O17" s="224"/>
      <c r="P17" s="224"/>
      <c r="Q17" s="224"/>
      <c r="R17" s="224"/>
      <c r="S17" s="223"/>
      <c r="T17" s="222" t="s">
        <v>11</v>
      </c>
      <c r="U17" s="224"/>
      <c r="V17" s="223"/>
    </row>
    <row r="18" spans="4:22" x14ac:dyDescent="0.15">
      <c r="D18" s="213"/>
      <c r="E18" s="214"/>
      <c r="F18" s="213"/>
      <c r="G18" s="215"/>
      <c r="H18" s="214"/>
      <c r="I18" s="216"/>
      <c r="J18" s="217"/>
      <c r="K18" s="217"/>
      <c r="L18" s="217"/>
      <c r="M18" s="217"/>
      <c r="N18" s="217"/>
      <c r="O18" s="217"/>
      <c r="P18" s="217"/>
      <c r="Q18" s="217"/>
      <c r="R18" s="217"/>
      <c r="S18" s="218"/>
      <c r="T18" s="219"/>
      <c r="U18" s="220"/>
      <c r="V18" s="221"/>
    </row>
    <row r="19" spans="4:22" x14ac:dyDescent="0.15">
      <c r="D19" s="203"/>
      <c r="E19" s="204"/>
      <c r="F19" s="205"/>
      <c r="G19" s="206"/>
      <c r="H19" s="204"/>
      <c r="I19" s="207"/>
      <c r="J19" s="208"/>
      <c r="K19" s="208"/>
      <c r="L19" s="208"/>
      <c r="M19" s="208"/>
      <c r="N19" s="208"/>
      <c r="O19" s="208"/>
      <c r="P19" s="208"/>
      <c r="Q19" s="208"/>
      <c r="R19" s="208"/>
      <c r="S19" s="209"/>
      <c r="T19" s="210"/>
      <c r="U19" s="211"/>
      <c r="V19" s="212"/>
    </row>
    <row r="20" spans="4:22" x14ac:dyDescent="0.15">
      <c r="D20" s="194"/>
      <c r="E20" s="195"/>
      <c r="F20" s="194"/>
      <c r="G20" s="196"/>
      <c r="H20" s="195"/>
      <c r="I20" s="197"/>
      <c r="J20" s="198"/>
      <c r="K20" s="198"/>
      <c r="L20" s="198"/>
      <c r="M20" s="198"/>
      <c r="N20" s="198"/>
      <c r="O20" s="198"/>
      <c r="P20" s="198"/>
      <c r="Q20" s="198"/>
      <c r="R20" s="198"/>
      <c r="S20" s="199"/>
      <c r="T20" s="200"/>
      <c r="U20" s="201"/>
      <c r="V20" s="202"/>
    </row>
    <row r="21" spans="4:22" x14ac:dyDescent="0.15">
      <c r="D21" s="194"/>
      <c r="E21" s="195"/>
      <c r="F21" s="194"/>
      <c r="G21" s="196"/>
      <c r="H21" s="195"/>
      <c r="I21" s="197"/>
      <c r="J21" s="198"/>
      <c r="K21" s="198"/>
      <c r="L21" s="198"/>
      <c r="M21" s="198"/>
      <c r="N21" s="198"/>
      <c r="O21" s="198"/>
      <c r="P21" s="198"/>
      <c r="Q21" s="198"/>
      <c r="R21" s="198"/>
      <c r="S21" s="199"/>
      <c r="T21" s="200"/>
      <c r="U21" s="201"/>
      <c r="V21" s="202"/>
    </row>
    <row r="22" spans="4:22" x14ac:dyDescent="0.15">
      <c r="D22" s="194"/>
      <c r="E22" s="195"/>
      <c r="F22" s="194"/>
      <c r="G22" s="196"/>
      <c r="H22" s="195"/>
      <c r="I22" s="197"/>
      <c r="J22" s="198"/>
      <c r="K22" s="198"/>
      <c r="L22" s="198"/>
      <c r="M22" s="198"/>
      <c r="N22" s="198"/>
      <c r="O22" s="198"/>
      <c r="P22" s="198"/>
      <c r="Q22" s="198"/>
      <c r="R22" s="198"/>
      <c r="S22" s="199"/>
      <c r="T22" s="200"/>
      <c r="U22" s="201"/>
      <c r="V22" s="202"/>
    </row>
    <row r="23" spans="4:22" x14ac:dyDescent="0.15">
      <c r="D23" s="194"/>
      <c r="E23" s="195"/>
      <c r="F23" s="194"/>
      <c r="G23" s="196"/>
      <c r="H23" s="195"/>
      <c r="I23" s="197"/>
      <c r="J23" s="198"/>
      <c r="K23" s="198"/>
      <c r="L23" s="198"/>
      <c r="M23" s="198"/>
      <c r="N23" s="198"/>
      <c r="O23" s="198"/>
      <c r="P23" s="198"/>
      <c r="Q23" s="198"/>
      <c r="R23" s="198"/>
      <c r="S23" s="199"/>
      <c r="T23" s="200"/>
      <c r="U23" s="201"/>
      <c r="V23" s="202"/>
    </row>
    <row r="24" spans="4:22" x14ac:dyDescent="0.15">
      <c r="D24" s="194"/>
      <c r="E24" s="195"/>
      <c r="F24" s="194"/>
      <c r="G24" s="196"/>
      <c r="H24" s="195"/>
      <c r="I24" s="197"/>
      <c r="J24" s="198"/>
      <c r="K24" s="198"/>
      <c r="L24" s="198"/>
      <c r="M24" s="198"/>
      <c r="N24" s="198"/>
      <c r="O24" s="198"/>
      <c r="P24" s="198"/>
      <c r="Q24" s="198"/>
      <c r="R24" s="198"/>
      <c r="S24" s="199"/>
      <c r="T24" s="200"/>
      <c r="U24" s="201"/>
      <c r="V24" s="202"/>
    </row>
    <row r="25" spans="4:22" x14ac:dyDescent="0.15">
      <c r="D25" s="194"/>
      <c r="E25" s="195"/>
      <c r="F25" s="194"/>
      <c r="G25" s="196"/>
      <c r="H25" s="195"/>
      <c r="I25" s="197"/>
      <c r="J25" s="198"/>
      <c r="K25" s="198"/>
      <c r="L25" s="198"/>
      <c r="M25" s="198"/>
      <c r="N25" s="198"/>
      <c r="O25" s="198"/>
      <c r="P25" s="198"/>
      <c r="Q25" s="198"/>
      <c r="R25" s="198"/>
      <c r="S25" s="199"/>
      <c r="T25" s="200"/>
      <c r="U25" s="201"/>
      <c r="V25" s="202"/>
    </row>
    <row r="26" spans="4:22" x14ac:dyDescent="0.15">
      <c r="D26" s="194"/>
      <c r="E26" s="195"/>
      <c r="F26" s="194"/>
      <c r="G26" s="196"/>
      <c r="H26" s="195"/>
      <c r="I26" s="197"/>
      <c r="J26" s="198"/>
      <c r="K26" s="198"/>
      <c r="L26" s="198"/>
      <c r="M26" s="198"/>
      <c r="N26" s="198"/>
      <c r="O26" s="198"/>
      <c r="P26" s="198"/>
      <c r="Q26" s="198"/>
      <c r="R26" s="198"/>
      <c r="S26" s="199"/>
      <c r="T26" s="200"/>
      <c r="U26" s="201"/>
      <c r="V26" s="202"/>
    </row>
    <row r="27" spans="4:22" x14ac:dyDescent="0.15">
      <c r="D27" s="194"/>
      <c r="E27" s="195"/>
      <c r="F27" s="194"/>
      <c r="G27" s="196"/>
      <c r="H27" s="195"/>
      <c r="I27" s="197"/>
      <c r="J27" s="198"/>
      <c r="K27" s="198"/>
      <c r="L27" s="198"/>
      <c r="M27" s="198"/>
      <c r="N27" s="198"/>
      <c r="O27" s="198"/>
      <c r="P27" s="198"/>
      <c r="Q27" s="198"/>
      <c r="R27" s="198"/>
      <c r="S27" s="199"/>
      <c r="T27" s="200"/>
      <c r="U27" s="201"/>
      <c r="V27" s="202"/>
    </row>
    <row r="28" spans="4:22" x14ac:dyDescent="0.15">
      <c r="D28" s="194"/>
      <c r="E28" s="195"/>
      <c r="F28" s="194"/>
      <c r="G28" s="196"/>
      <c r="H28" s="195"/>
      <c r="I28" s="197"/>
      <c r="J28" s="198"/>
      <c r="K28" s="198"/>
      <c r="L28" s="198"/>
      <c r="M28" s="198"/>
      <c r="N28" s="198"/>
      <c r="O28" s="198"/>
      <c r="P28" s="198"/>
      <c r="Q28" s="198"/>
      <c r="R28" s="198"/>
      <c r="S28" s="199"/>
      <c r="T28" s="200"/>
      <c r="U28" s="201"/>
      <c r="V28" s="202"/>
    </row>
    <row r="29" spans="4:22" x14ac:dyDescent="0.15">
      <c r="D29" s="194"/>
      <c r="E29" s="195"/>
      <c r="F29" s="194"/>
      <c r="G29" s="196"/>
      <c r="H29" s="195"/>
      <c r="I29" s="197"/>
      <c r="J29" s="198"/>
      <c r="K29" s="198"/>
      <c r="L29" s="198"/>
      <c r="M29" s="198"/>
      <c r="N29" s="198"/>
      <c r="O29" s="198"/>
      <c r="P29" s="198"/>
      <c r="Q29" s="198"/>
      <c r="R29" s="198"/>
      <c r="S29" s="199"/>
      <c r="T29" s="200"/>
      <c r="U29" s="201"/>
      <c r="V29" s="202"/>
    </row>
    <row r="30" spans="4:22" x14ac:dyDescent="0.15">
      <c r="D30" s="194"/>
      <c r="E30" s="195"/>
      <c r="F30" s="194"/>
      <c r="G30" s="196"/>
      <c r="H30" s="195"/>
      <c r="I30" s="197"/>
      <c r="J30" s="198"/>
      <c r="K30" s="198"/>
      <c r="L30" s="198"/>
      <c r="M30" s="198"/>
      <c r="N30" s="198"/>
      <c r="O30" s="198"/>
      <c r="P30" s="198"/>
      <c r="Q30" s="198"/>
      <c r="R30" s="198"/>
      <c r="S30" s="199"/>
      <c r="T30" s="200"/>
      <c r="U30" s="201"/>
      <c r="V30" s="202"/>
    </row>
    <row r="31" spans="4:22" x14ac:dyDescent="0.15">
      <c r="D31" s="194"/>
      <c r="E31" s="195"/>
      <c r="F31" s="194"/>
      <c r="G31" s="196"/>
      <c r="H31" s="195"/>
      <c r="I31" s="197"/>
      <c r="J31" s="198"/>
      <c r="K31" s="198"/>
      <c r="L31" s="198"/>
      <c r="M31" s="198"/>
      <c r="N31" s="198"/>
      <c r="O31" s="198"/>
      <c r="P31" s="198"/>
      <c r="Q31" s="198"/>
      <c r="R31" s="198"/>
      <c r="S31" s="199"/>
      <c r="T31" s="200"/>
      <c r="U31" s="201"/>
      <c r="V31" s="202"/>
    </row>
    <row r="32" spans="4:22" x14ac:dyDescent="0.15">
      <c r="D32" s="194"/>
      <c r="E32" s="195"/>
      <c r="F32" s="194"/>
      <c r="G32" s="196"/>
      <c r="H32" s="195"/>
      <c r="I32" s="197"/>
      <c r="J32" s="198"/>
      <c r="K32" s="198"/>
      <c r="L32" s="198"/>
      <c r="M32" s="198"/>
      <c r="N32" s="198"/>
      <c r="O32" s="198"/>
      <c r="P32" s="198"/>
      <c r="Q32" s="198"/>
      <c r="R32" s="198"/>
      <c r="S32" s="199"/>
      <c r="T32" s="200"/>
      <c r="U32" s="201"/>
      <c r="V32" s="202"/>
    </row>
    <row r="33" spans="4:22" x14ac:dyDescent="0.15">
      <c r="D33" s="194"/>
      <c r="E33" s="195"/>
      <c r="F33" s="194"/>
      <c r="G33" s="196"/>
      <c r="H33" s="195"/>
      <c r="I33" s="197"/>
      <c r="J33" s="198"/>
      <c r="K33" s="198"/>
      <c r="L33" s="198"/>
      <c r="M33" s="198"/>
      <c r="N33" s="198"/>
      <c r="O33" s="198"/>
      <c r="P33" s="198"/>
      <c r="Q33" s="198"/>
      <c r="R33" s="198"/>
      <c r="S33" s="199"/>
      <c r="T33" s="200"/>
      <c r="U33" s="201"/>
      <c r="V33" s="202"/>
    </row>
    <row r="34" spans="4:22" x14ac:dyDescent="0.15">
      <c r="D34" s="194"/>
      <c r="E34" s="195"/>
      <c r="F34" s="194"/>
      <c r="G34" s="196"/>
      <c r="H34" s="195"/>
      <c r="I34" s="197"/>
      <c r="J34" s="198"/>
      <c r="K34" s="198"/>
      <c r="L34" s="198"/>
      <c r="M34" s="198"/>
      <c r="N34" s="198"/>
      <c r="O34" s="198"/>
      <c r="P34" s="198"/>
      <c r="Q34" s="198"/>
      <c r="R34" s="198"/>
      <c r="S34" s="199"/>
      <c r="T34" s="200"/>
      <c r="U34" s="201"/>
      <c r="V34" s="202"/>
    </row>
    <row r="35" spans="4:22" x14ac:dyDescent="0.15">
      <c r="D35" s="194"/>
      <c r="E35" s="195"/>
      <c r="F35" s="194"/>
      <c r="G35" s="196"/>
      <c r="H35" s="195"/>
      <c r="I35" s="197"/>
      <c r="J35" s="198"/>
      <c r="K35" s="198"/>
      <c r="L35" s="198"/>
      <c r="M35" s="198"/>
      <c r="N35" s="198"/>
      <c r="O35" s="198"/>
      <c r="P35" s="198"/>
      <c r="Q35" s="198"/>
      <c r="R35" s="198"/>
      <c r="S35" s="199"/>
      <c r="T35" s="200"/>
      <c r="U35" s="201"/>
      <c r="V35" s="202"/>
    </row>
    <row r="36" spans="4:22" x14ac:dyDescent="0.15">
      <c r="D36" s="194"/>
      <c r="E36" s="195"/>
      <c r="F36" s="194"/>
      <c r="G36" s="196"/>
      <c r="H36" s="195"/>
      <c r="I36" s="197"/>
      <c r="J36" s="198"/>
      <c r="K36" s="198"/>
      <c r="L36" s="198"/>
      <c r="M36" s="198"/>
      <c r="N36" s="198"/>
      <c r="O36" s="198"/>
      <c r="P36" s="198"/>
      <c r="Q36" s="198"/>
      <c r="R36" s="198"/>
      <c r="S36" s="199"/>
      <c r="T36" s="200"/>
      <c r="U36" s="201"/>
      <c r="V36" s="202"/>
    </row>
    <row r="37" spans="4:22" x14ac:dyDescent="0.15">
      <c r="D37" s="185"/>
      <c r="E37" s="186"/>
      <c r="F37" s="185"/>
      <c r="G37" s="187"/>
      <c r="H37" s="186"/>
      <c r="I37" s="188"/>
      <c r="J37" s="189"/>
      <c r="K37" s="189"/>
      <c r="L37" s="189"/>
      <c r="M37" s="189"/>
      <c r="N37" s="189"/>
      <c r="O37" s="189"/>
      <c r="P37" s="189"/>
      <c r="Q37" s="189"/>
      <c r="R37" s="189"/>
      <c r="S37" s="190"/>
      <c r="T37" s="191"/>
      <c r="U37" s="192"/>
      <c r="V37" s="193"/>
    </row>
  </sheetData>
  <mergeCells count="93">
    <mergeCell ref="D3:V4"/>
    <mergeCell ref="D10:H10"/>
    <mergeCell ref="I10:V10"/>
    <mergeCell ref="D11:H12"/>
    <mergeCell ref="I11:V12"/>
    <mergeCell ref="D7:H7"/>
    <mergeCell ref="I7:V7"/>
    <mergeCell ref="D8:H9"/>
    <mergeCell ref="I8:V9"/>
    <mergeCell ref="D18:E18"/>
    <mergeCell ref="F18:H18"/>
    <mergeCell ref="I18:S18"/>
    <mergeCell ref="T18:V18"/>
    <mergeCell ref="D17:E17"/>
    <mergeCell ref="F17:H17"/>
    <mergeCell ref="I17:S17"/>
    <mergeCell ref="T17:V17"/>
    <mergeCell ref="D19:E19"/>
    <mergeCell ref="F19:H19"/>
    <mergeCell ref="I19:S19"/>
    <mergeCell ref="T19:V19"/>
    <mergeCell ref="D20:E20"/>
    <mergeCell ref="F20:H20"/>
    <mergeCell ref="I20:S20"/>
    <mergeCell ref="T20:V20"/>
    <mergeCell ref="D21:E21"/>
    <mergeCell ref="F21:H21"/>
    <mergeCell ref="I21:S21"/>
    <mergeCell ref="T21:V21"/>
    <mergeCell ref="D22:E22"/>
    <mergeCell ref="F22:H22"/>
    <mergeCell ref="I22:S22"/>
    <mergeCell ref="T22:V22"/>
    <mergeCell ref="D23:E23"/>
    <mergeCell ref="F23:H23"/>
    <mergeCell ref="I23:S23"/>
    <mergeCell ref="T23:V23"/>
    <mergeCell ref="D24:E24"/>
    <mergeCell ref="F24:H24"/>
    <mergeCell ref="I24:S24"/>
    <mergeCell ref="T24:V24"/>
    <mergeCell ref="D25:E25"/>
    <mergeCell ref="F25:H25"/>
    <mergeCell ref="I25:S25"/>
    <mergeCell ref="T25:V25"/>
    <mergeCell ref="D26:E26"/>
    <mergeCell ref="F26:H26"/>
    <mergeCell ref="I26:S26"/>
    <mergeCell ref="T26:V26"/>
    <mergeCell ref="D27:E27"/>
    <mergeCell ref="F27:H27"/>
    <mergeCell ref="I27:S27"/>
    <mergeCell ref="T27:V27"/>
    <mergeCell ref="D28:E28"/>
    <mergeCell ref="F28:H28"/>
    <mergeCell ref="I28:S28"/>
    <mergeCell ref="T28:V28"/>
    <mergeCell ref="D29:E29"/>
    <mergeCell ref="F29:H29"/>
    <mergeCell ref="I29:S29"/>
    <mergeCell ref="T29:V29"/>
    <mergeCell ref="D30:E30"/>
    <mergeCell ref="F30:H30"/>
    <mergeCell ref="I30:S30"/>
    <mergeCell ref="T30:V30"/>
    <mergeCell ref="D31:E31"/>
    <mergeCell ref="F31:H31"/>
    <mergeCell ref="I31:S31"/>
    <mergeCell ref="T31:V31"/>
    <mergeCell ref="D32:E32"/>
    <mergeCell ref="F32:H32"/>
    <mergeCell ref="I32:S32"/>
    <mergeCell ref="T32:V32"/>
    <mergeCell ref="D33:E33"/>
    <mergeCell ref="F33:H33"/>
    <mergeCell ref="I33:S33"/>
    <mergeCell ref="T33:V33"/>
    <mergeCell ref="D34:E34"/>
    <mergeCell ref="F34:H34"/>
    <mergeCell ref="I34:S34"/>
    <mergeCell ref="T34:V34"/>
    <mergeCell ref="D37:E37"/>
    <mergeCell ref="F37:H37"/>
    <mergeCell ref="I37:S37"/>
    <mergeCell ref="T37:V37"/>
    <mergeCell ref="D35:E35"/>
    <mergeCell ref="F35:H35"/>
    <mergeCell ref="I35:S35"/>
    <mergeCell ref="T35:V35"/>
    <mergeCell ref="D36:E36"/>
    <mergeCell ref="F36:H36"/>
    <mergeCell ref="I36:S36"/>
    <mergeCell ref="T36:V36"/>
  </mergeCells>
  <phoneticPr fontId="1"/>
  <pageMargins left="0.25" right="0.25" top="0.75" bottom="0.75" header="0.3" footer="0.3"/>
  <pageSetup paperSize="9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8"/>
  <dimension ref="A1:AH43"/>
  <sheetViews>
    <sheetView showGridLines="0" zoomScale="79" zoomScaleNormal="79" workbookViewId="0">
      <selection activeCell="O17" sqref="O17"/>
    </sheetView>
  </sheetViews>
  <sheetFormatPr defaultColWidth="5.625" defaultRowHeight="13.5" x14ac:dyDescent="0.15"/>
  <cols>
    <col min="1" max="1" width="5.625" style="12" customWidth="1"/>
    <col min="2" max="15" width="5.625" style="4" customWidth="1"/>
    <col min="16" max="16" width="5.625" style="12" customWidth="1"/>
    <col min="17" max="17" width="5.625" style="4" customWidth="1"/>
    <col min="18" max="18" width="5.625" style="4"/>
    <col min="19" max="19" width="5.625" style="4" customWidth="1"/>
    <col min="20" max="248" width="5.625" style="4"/>
    <col min="249" max="264" width="5.625" style="4" customWidth="1"/>
    <col min="265" max="504" width="5.625" style="4"/>
    <col min="505" max="520" width="5.625" style="4" customWidth="1"/>
    <col min="521" max="760" width="5.625" style="4"/>
    <col min="761" max="776" width="5.625" style="4" customWidth="1"/>
    <col min="777" max="1016" width="5.625" style="4"/>
    <col min="1017" max="1032" width="5.625" style="4" customWidth="1"/>
    <col min="1033" max="1272" width="5.625" style="4"/>
    <col min="1273" max="1288" width="5.625" style="4" customWidth="1"/>
    <col min="1289" max="1528" width="5.625" style="4"/>
    <col min="1529" max="1544" width="5.625" style="4" customWidth="1"/>
    <col min="1545" max="1784" width="5.625" style="4"/>
    <col min="1785" max="1800" width="5.625" style="4" customWidth="1"/>
    <col min="1801" max="2040" width="5.625" style="4"/>
    <col min="2041" max="2056" width="5.625" style="4" customWidth="1"/>
    <col min="2057" max="2296" width="5.625" style="4"/>
    <col min="2297" max="2312" width="5.625" style="4" customWidth="1"/>
    <col min="2313" max="2552" width="5.625" style="4"/>
    <col min="2553" max="2568" width="5.625" style="4" customWidth="1"/>
    <col min="2569" max="2808" width="5.625" style="4"/>
    <col min="2809" max="2824" width="5.625" style="4" customWidth="1"/>
    <col min="2825" max="3064" width="5.625" style="4"/>
    <col min="3065" max="3080" width="5.625" style="4" customWidth="1"/>
    <col min="3081" max="3320" width="5.625" style="4"/>
    <col min="3321" max="3336" width="5.625" style="4" customWidth="1"/>
    <col min="3337" max="3576" width="5.625" style="4"/>
    <col min="3577" max="3592" width="5.625" style="4" customWidth="1"/>
    <col min="3593" max="3832" width="5.625" style="4"/>
    <col min="3833" max="3848" width="5.625" style="4" customWidth="1"/>
    <col min="3849" max="4088" width="5.625" style="4"/>
    <col min="4089" max="4104" width="5.625" style="4" customWidth="1"/>
    <col min="4105" max="4344" width="5.625" style="4"/>
    <col min="4345" max="4360" width="5.625" style="4" customWidth="1"/>
    <col min="4361" max="4600" width="5.625" style="4"/>
    <col min="4601" max="4616" width="5.625" style="4" customWidth="1"/>
    <col min="4617" max="4856" width="5.625" style="4"/>
    <col min="4857" max="4872" width="5.625" style="4" customWidth="1"/>
    <col min="4873" max="5112" width="5.625" style="4"/>
    <col min="5113" max="5128" width="5.625" style="4" customWidth="1"/>
    <col min="5129" max="5368" width="5.625" style="4"/>
    <col min="5369" max="5384" width="5.625" style="4" customWidth="1"/>
    <col min="5385" max="5624" width="5.625" style="4"/>
    <col min="5625" max="5640" width="5.625" style="4" customWidth="1"/>
    <col min="5641" max="5880" width="5.625" style="4"/>
    <col min="5881" max="5896" width="5.625" style="4" customWidth="1"/>
    <col min="5897" max="6136" width="5.625" style="4"/>
    <col min="6137" max="6152" width="5.625" style="4" customWidth="1"/>
    <col min="6153" max="6392" width="5.625" style="4"/>
    <col min="6393" max="6408" width="5.625" style="4" customWidth="1"/>
    <col min="6409" max="6648" width="5.625" style="4"/>
    <col min="6649" max="6664" width="5.625" style="4" customWidth="1"/>
    <col min="6665" max="6904" width="5.625" style="4"/>
    <col min="6905" max="6920" width="5.625" style="4" customWidth="1"/>
    <col min="6921" max="7160" width="5.625" style="4"/>
    <col min="7161" max="7176" width="5.625" style="4" customWidth="1"/>
    <col min="7177" max="7416" width="5.625" style="4"/>
    <col min="7417" max="7432" width="5.625" style="4" customWidth="1"/>
    <col min="7433" max="7672" width="5.625" style="4"/>
    <col min="7673" max="7688" width="5.625" style="4" customWidth="1"/>
    <col min="7689" max="7928" width="5.625" style="4"/>
    <col min="7929" max="7944" width="5.625" style="4" customWidth="1"/>
    <col min="7945" max="8184" width="5.625" style="4"/>
    <col min="8185" max="8200" width="5.625" style="4" customWidth="1"/>
    <col min="8201" max="8440" width="5.625" style="4"/>
    <col min="8441" max="8456" width="5.625" style="4" customWidth="1"/>
    <col min="8457" max="8696" width="5.625" style="4"/>
    <col min="8697" max="8712" width="5.625" style="4" customWidth="1"/>
    <col min="8713" max="8952" width="5.625" style="4"/>
    <col min="8953" max="8968" width="5.625" style="4" customWidth="1"/>
    <col min="8969" max="9208" width="5.625" style="4"/>
    <col min="9209" max="9224" width="5.625" style="4" customWidth="1"/>
    <col min="9225" max="9464" width="5.625" style="4"/>
    <col min="9465" max="9480" width="5.625" style="4" customWidth="1"/>
    <col min="9481" max="9720" width="5.625" style="4"/>
    <col min="9721" max="9736" width="5.625" style="4" customWidth="1"/>
    <col min="9737" max="9976" width="5.625" style="4"/>
    <col min="9977" max="9992" width="5.625" style="4" customWidth="1"/>
    <col min="9993" max="10232" width="5.625" style="4"/>
    <col min="10233" max="10248" width="5.625" style="4" customWidth="1"/>
    <col min="10249" max="10488" width="5.625" style="4"/>
    <col min="10489" max="10504" width="5.625" style="4" customWidth="1"/>
    <col min="10505" max="10744" width="5.625" style="4"/>
    <col min="10745" max="10760" width="5.625" style="4" customWidth="1"/>
    <col min="10761" max="11000" width="5.625" style="4"/>
    <col min="11001" max="11016" width="5.625" style="4" customWidth="1"/>
    <col min="11017" max="11256" width="5.625" style="4"/>
    <col min="11257" max="11272" width="5.625" style="4" customWidth="1"/>
    <col min="11273" max="11512" width="5.625" style="4"/>
    <col min="11513" max="11528" width="5.625" style="4" customWidth="1"/>
    <col min="11529" max="11768" width="5.625" style="4"/>
    <col min="11769" max="11784" width="5.625" style="4" customWidth="1"/>
    <col min="11785" max="12024" width="5.625" style="4"/>
    <col min="12025" max="12040" width="5.625" style="4" customWidth="1"/>
    <col min="12041" max="12280" width="5.625" style="4"/>
    <col min="12281" max="12296" width="5.625" style="4" customWidth="1"/>
    <col min="12297" max="12536" width="5.625" style="4"/>
    <col min="12537" max="12552" width="5.625" style="4" customWidth="1"/>
    <col min="12553" max="12792" width="5.625" style="4"/>
    <col min="12793" max="12808" width="5.625" style="4" customWidth="1"/>
    <col min="12809" max="13048" width="5.625" style="4"/>
    <col min="13049" max="13064" width="5.625" style="4" customWidth="1"/>
    <col min="13065" max="13304" width="5.625" style="4"/>
    <col min="13305" max="13320" width="5.625" style="4" customWidth="1"/>
    <col min="13321" max="13560" width="5.625" style="4"/>
    <col min="13561" max="13576" width="5.625" style="4" customWidth="1"/>
    <col min="13577" max="13816" width="5.625" style="4"/>
    <col min="13817" max="13832" width="5.625" style="4" customWidth="1"/>
    <col min="13833" max="14072" width="5.625" style="4"/>
    <col min="14073" max="14088" width="5.625" style="4" customWidth="1"/>
    <col min="14089" max="14328" width="5.625" style="4"/>
    <col min="14329" max="14344" width="5.625" style="4" customWidth="1"/>
    <col min="14345" max="14584" width="5.625" style="4"/>
    <col min="14585" max="14600" width="5.625" style="4" customWidth="1"/>
    <col min="14601" max="14840" width="5.625" style="4"/>
    <col min="14841" max="14856" width="5.625" style="4" customWidth="1"/>
    <col min="14857" max="15096" width="5.625" style="4"/>
    <col min="15097" max="15112" width="5.625" style="4" customWidth="1"/>
    <col min="15113" max="15352" width="5.625" style="4"/>
    <col min="15353" max="15368" width="5.625" style="4" customWidth="1"/>
    <col min="15369" max="15608" width="5.625" style="4"/>
    <col min="15609" max="15624" width="5.625" style="4" customWidth="1"/>
    <col min="15625" max="15864" width="5.625" style="4"/>
    <col min="15865" max="15880" width="5.625" style="4" customWidth="1"/>
    <col min="15881" max="16120" width="5.625" style="4"/>
    <col min="16121" max="16136" width="5.625" style="4" customWidth="1"/>
    <col min="16137" max="16384" width="5.625" style="4"/>
  </cols>
  <sheetData>
    <row r="1" spans="1:34" ht="13.5" customHeight="1" x14ac:dyDescent="0.15">
      <c r="A1" s="260" t="s">
        <v>147</v>
      </c>
      <c r="B1" s="261"/>
      <c r="C1" s="261"/>
      <c r="D1" s="261"/>
      <c r="E1" s="261"/>
      <c r="F1" s="262"/>
      <c r="G1" s="243" t="s">
        <v>5</v>
      </c>
      <c r="H1" s="245"/>
      <c r="I1" s="244"/>
      <c r="J1" s="21" t="str">
        <f>IF(表紙!I8&lt;&gt;"",表紙!I8,"")</f>
        <v/>
      </c>
      <c r="K1" s="3"/>
      <c r="L1" s="3"/>
      <c r="M1" s="3"/>
      <c r="N1" s="3"/>
      <c r="O1" s="3"/>
      <c r="P1" s="243" t="s">
        <v>8</v>
      </c>
      <c r="Q1" s="244"/>
      <c r="R1" s="243" t="s">
        <v>7</v>
      </c>
      <c r="S1" s="245"/>
      <c r="T1" s="244"/>
      <c r="U1" s="243" t="s">
        <v>9</v>
      </c>
      <c r="V1" s="244"/>
      <c r="W1" s="243" t="s">
        <v>10</v>
      </c>
      <c r="X1" s="245"/>
      <c r="Y1" s="244"/>
    </row>
    <row r="2" spans="1:34" ht="13.5" customHeight="1" x14ac:dyDescent="0.15">
      <c r="A2" s="263"/>
      <c r="B2" s="264"/>
      <c r="C2" s="264"/>
      <c r="D2" s="264"/>
      <c r="E2" s="264"/>
      <c r="F2" s="265"/>
      <c r="G2" s="243" t="s">
        <v>6</v>
      </c>
      <c r="H2" s="245"/>
      <c r="I2" s="244"/>
      <c r="J2" s="21" t="str">
        <f>IF(表紙!I11&lt;&gt;"",表紙!I11,"")</f>
        <v/>
      </c>
      <c r="K2" s="5"/>
      <c r="L2" s="5"/>
      <c r="M2" s="5"/>
      <c r="N2" s="5"/>
      <c r="O2" s="5"/>
      <c r="P2" s="246"/>
      <c r="Q2" s="247"/>
      <c r="R2" s="250"/>
      <c r="S2" s="251"/>
      <c r="T2" s="252"/>
      <c r="U2" s="79"/>
      <c r="V2" s="80"/>
      <c r="W2" s="250"/>
      <c r="X2" s="251"/>
      <c r="Y2" s="252"/>
    </row>
    <row r="3" spans="1:34" ht="13.5" customHeight="1" x14ac:dyDescent="0.15">
      <c r="A3" s="266"/>
      <c r="B3" s="267"/>
      <c r="C3" s="267"/>
      <c r="D3" s="267"/>
      <c r="E3" s="267"/>
      <c r="F3" s="268"/>
      <c r="G3" s="243"/>
      <c r="H3" s="245"/>
      <c r="I3" s="244"/>
      <c r="J3" s="21"/>
      <c r="K3" s="5"/>
      <c r="L3" s="5"/>
      <c r="M3" s="5"/>
      <c r="N3" s="5"/>
      <c r="O3" s="5"/>
      <c r="P3" s="248"/>
      <c r="Q3" s="249"/>
      <c r="R3" s="253"/>
      <c r="S3" s="254"/>
      <c r="T3" s="255"/>
      <c r="U3" s="81"/>
      <c r="V3" s="82"/>
      <c r="W3" s="253"/>
      <c r="X3" s="254"/>
      <c r="Y3" s="255"/>
    </row>
    <row r="4" spans="1:34" x14ac:dyDescent="0.15">
      <c r="A4" s="86"/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8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</row>
    <row r="5" spans="1:34" ht="13.5" customHeight="1" x14ac:dyDescent="0.15">
      <c r="A5" s="83" t="s">
        <v>147</v>
      </c>
      <c r="B5" s="84"/>
      <c r="C5" s="84"/>
      <c r="D5" s="84"/>
      <c r="E5" s="84"/>
      <c r="F5" s="84"/>
      <c r="G5" s="84"/>
      <c r="H5" s="84"/>
      <c r="I5" s="84"/>
      <c r="J5" s="84"/>
      <c r="K5" s="84"/>
      <c r="L5" s="84"/>
      <c r="M5" s="84"/>
      <c r="N5" s="84"/>
      <c r="O5" s="84"/>
      <c r="P5" s="84"/>
      <c r="Q5" s="84"/>
      <c r="R5" s="84"/>
      <c r="S5" s="84"/>
      <c r="T5" s="84"/>
      <c r="U5" s="84"/>
      <c r="V5" s="84"/>
      <c r="W5" s="84"/>
      <c r="X5" s="84"/>
      <c r="Y5" s="85"/>
    </row>
    <row r="6" spans="1:34" x14ac:dyDescent="0.15">
      <c r="A6" s="112"/>
      <c r="B6" s="113"/>
      <c r="C6" s="113"/>
      <c r="D6" s="113"/>
      <c r="E6" s="113"/>
      <c r="F6" s="113"/>
      <c r="G6" s="113"/>
      <c r="H6" s="113"/>
      <c r="I6" s="113"/>
      <c r="J6" s="113"/>
      <c r="K6" s="113"/>
      <c r="L6" s="113"/>
      <c r="M6" s="113"/>
      <c r="N6" s="113"/>
      <c r="O6" s="113"/>
      <c r="P6" s="113"/>
      <c r="Q6" s="113"/>
      <c r="R6" s="113"/>
      <c r="S6" s="113"/>
      <c r="T6" s="113"/>
      <c r="U6" s="113"/>
      <c r="V6" s="113"/>
      <c r="W6" s="113"/>
      <c r="X6" s="113"/>
      <c r="Y6" s="114"/>
      <c r="Z6" s="8"/>
      <c r="AA6" s="8"/>
    </row>
    <row r="7" spans="1:34" x14ac:dyDescent="0.15">
      <c r="A7" s="9"/>
      <c r="B7" s="88" t="s">
        <v>181</v>
      </c>
      <c r="C7" s="88"/>
      <c r="D7" s="88"/>
      <c r="E7" s="88"/>
      <c r="F7" s="88"/>
      <c r="G7" s="88"/>
      <c r="H7" s="88"/>
      <c r="I7" s="88"/>
      <c r="J7" s="88"/>
      <c r="K7" s="88"/>
      <c r="L7" s="88"/>
      <c r="M7" s="88"/>
      <c r="N7" s="88"/>
      <c r="O7" s="88"/>
      <c r="P7" s="88"/>
      <c r="Q7" s="88"/>
      <c r="R7" s="88"/>
      <c r="S7" s="88"/>
      <c r="T7" s="88"/>
      <c r="U7" s="88"/>
      <c r="V7" s="88"/>
      <c r="W7" s="88"/>
      <c r="X7" s="88"/>
      <c r="Y7" s="13"/>
      <c r="Z7" s="8"/>
      <c r="AA7" s="10"/>
      <c r="AB7" s="10"/>
      <c r="AC7" s="11"/>
      <c r="AD7" s="11"/>
      <c r="AE7" s="11"/>
      <c r="AF7" s="11"/>
      <c r="AG7" s="11"/>
      <c r="AH7" s="11"/>
    </row>
    <row r="8" spans="1:34" x14ac:dyDescent="0.15">
      <c r="A8" s="9"/>
      <c r="B8" s="88"/>
      <c r="C8" s="88"/>
      <c r="D8" s="88"/>
      <c r="E8" s="88"/>
      <c r="F8" s="88"/>
      <c r="G8" s="88"/>
      <c r="H8" s="88"/>
      <c r="I8" s="88"/>
      <c r="J8" s="88"/>
      <c r="K8" s="88"/>
      <c r="L8" s="88"/>
      <c r="M8" s="88"/>
      <c r="N8" s="88"/>
      <c r="O8" s="88"/>
      <c r="P8" s="88"/>
      <c r="Q8" s="88"/>
      <c r="R8" s="88"/>
      <c r="S8" s="88"/>
      <c r="T8" s="88"/>
      <c r="U8" s="88"/>
      <c r="V8" s="88"/>
      <c r="W8" s="88"/>
      <c r="X8" s="88"/>
      <c r="Y8" s="13"/>
      <c r="Z8" s="8"/>
      <c r="AA8" s="10"/>
      <c r="AB8" s="10"/>
      <c r="AC8" s="11"/>
      <c r="AD8" s="11"/>
      <c r="AE8" s="11"/>
      <c r="AF8" s="11"/>
      <c r="AG8" s="11"/>
      <c r="AH8" s="11"/>
    </row>
    <row r="9" spans="1:34" x14ac:dyDescent="0.15">
      <c r="A9" s="17"/>
      <c r="B9" s="137" t="s">
        <v>167</v>
      </c>
      <c r="C9" s="257" t="s">
        <v>176</v>
      </c>
      <c r="D9" s="258"/>
      <c r="E9" s="258"/>
      <c r="F9" s="258"/>
      <c r="G9" s="259"/>
      <c r="H9" s="257" t="s">
        <v>177</v>
      </c>
      <c r="I9" s="258"/>
      <c r="J9" s="258"/>
      <c r="K9" s="258"/>
      <c r="L9" s="258"/>
      <c r="M9" s="258"/>
      <c r="N9" s="258"/>
      <c r="O9" s="258"/>
      <c r="P9" s="258"/>
      <c r="Q9" s="258"/>
      <c r="R9" s="258"/>
      <c r="S9" s="258"/>
      <c r="T9" s="259"/>
      <c r="U9" s="88"/>
      <c r="V9" s="88"/>
      <c r="W9" s="88"/>
      <c r="X9" s="88"/>
      <c r="Y9" s="13"/>
      <c r="Z9" s="8"/>
      <c r="AA9" s="10"/>
      <c r="AB9" s="10"/>
      <c r="AC9" s="11"/>
      <c r="AD9" s="11"/>
      <c r="AE9" s="11"/>
      <c r="AF9" s="11"/>
      <c r="AG9" s="11"/>
      <c r="AH9" s="11"/>
    </row>
    <row r="10" spans="1:34" x14ac:dyDescent="0.15">
      <c r="A10" s="17"/>
      <c r="B10" s="127" t="s">
        <v>168</v>
      </c>
      <c r="C10" s="130" t="s">
        <v>169</v>
      </c>
      <c r="D10" s="131"/>
      <c r="E10" s="131"/>
      <c r="F10" s="131"/>
      <c r="G10" s="132"/>
      <c r="H10" s="131"/>
      <c r="I10" s="131"/>
      <c r="J10" s="131"/>
      <c r="K10" s="131"/>
      <c r="L10" s="131"/>
      <c r="M10" s="131"/>
      <c r="N10" s="131"/>
      <c r="O10" s="131"/>
      <c r="P10" s="131"/>
      <c r="Q10" s="131"/>
      <c r="R10" s="131"/>
      <c r="S10" s="131"/>
      <c r="T10" s="132"/>
      <c r="U10" s="88"/>
      <c r="V10" s="88"/>
      <c r="W10" s="88"/>
      <c r="X10" s="88"/>
      <c r="Y10" s="13"/>
      <c r="Z10" s="8"/>
      <c r="AA10" s="10"/>
      <c r="AB10" s="10"/>
      <c r="AC10" s="11"/>
      <c r="AD10" s="11"/>
      <c r="AE10" s="11"/>
      <c r="AF10" s="11"/>
      <c r="AG10" s="11"/>
      <c r="AH10" s="11"/>
    </row>
    <row r="11" spans="1:34" x14ac:dyDescent="0.15">
      <c r="A11" s="17"/>
      <c r="B11" s="128" t="s">
        <v>170</v>
      </c>
      <c r="C11" s="122" t="s">
        <v>171</v>
      </c>
      <c r="D11" s="123"/>
      <c r="E11" s="138"/>
      <c r="F11" s="139"/>
      <c r="G11" s="127" t="s">
        <v>172</v>
      </c>
      <c r="H11" s="131"/>
      <c r="I11" s="131"/>
      <c r="J11" s="136"/>
      <c r="K11" s="136"/>
      <c r="L11" s="131"/>
      <c r="M11" s="131"/>
      <c r="N11" s="131"/>
      <c r="O11" s="131"/>
      <c r="P11" s="131"/>
      <c r="Q11" s="131"/>
      <c r="R11" s="131"/>
      <c r="S11" s="131"/>
      <c r="T11" s="132"/>
      <c r="U11" s="88"/>
      <c r="V11" s="88"/>
      <c r="W11" s="88"/>
      <c r="X11" s="88"/>
      <c r="Y11" s="13"/>
      <c r="Z11" s="8"/>
      <c r="AA11" s="10"/>
      <c r="AB11" s="10"/>
      <c r="AC11" s="11"/>
      <c r="AD11" s="11"/>
      <c r="AE11" s="11"/>
      <c r="AF11" s="11"/>
      <c r="AG11" s="11"/>
      <c r="AH11" s="11"/>
    </row>
    <row r="12" spans="1:34" x14ac:dyDescent="0.15">
      <c r="A12" s="17"/>
      <c r="B12" s="129"/>
      <c r="C12" s="125" t="s">
        <v>179</v>
      </c>
      <c r="D12" s="88"/>
      <c r="E12" s="11"/>
      <c r="F12" s="140"/>
      <c r="G12" s="127" t="s">
        <v>173</v>
      </c>
      <c r="H12" s="131"/>
      <c r="I12" s="131"/>
      <c r="J12" s="136"/>
      <c r="K12" s="136"/>
      <c r="L12" s="131"/>
      <c r="M12" s="131"/>
      <c r="N12" s="131"/>
      <c r="O12" s="131"/>
      <c r="P12" s="131"/>
      <c r="Q12" s="131"/>
      <c r="R12" s="131"/>
      <c r="S12" s="131"/>
      <c r="T12" s="132"/>
      <c r="U12" s="88"/>
      <c r="V12" s="88"/>
      <c r="W12" s="88"/>
      <c r="X12" s="88"/>
      <c r="Y12" s="13"/>
      <c r="Z12" s="8"/>
      <c r="AA12" s="10"/>
      <c r="AB12" s="10"/>
      <c r="AC12" s="11"/>
      <c r="AD12" s="11"/>
      <c r="AE12" s="11"/>
      <c r="AF12" s="11"/>
      <c r="AG12" s="11"/>
      <c r="AH12" s="11"/>
    </row>
    <row r="13" spans="1:34" x14ac:dyDescent="0.15">
      <c r="A13" s="17"/>
      <c r="B13" s="128" t="s">
        <v>174</v>
      </c>
      <c r="C13" s="122" t="s">
        <v>171</v>
      </c>
      <c r="D13" s="123"/>
      <c r="E13" s="138"/>
      <c r="F13" s="139"/>
      <c r="G13" s="127" t="s">
        <v>172</v>
      </c>
      <c r="H13" s="131"/>
      <c r="I13" s="131"/>
      <c r="J13" s="136"/>
      <c r="K13" s="136"/>
      <c r="L13" s="131"/>
      <c r="M13" s="131"/>
      <c r="N13" s="131"/>
      <c r="O13" s="131"/>
      <c r="P13" s="131"/>
      <c r="Q13" s="131"/>
      <c r="R13" s="131"/>
      <c r="S13" s="131"/>
      <c r="T13" s="132"/>
      <c r="U13" s="88"/>
      <c r="V13" s="88"/>
      <c r="W13" s="88"/>
      <c r="X13" s="88"/>
      <c r="Y13" s="13"/>
      <c r="Z13" s="8"/>
      <c r="AA13" s="10"/>
      <c r="AB13" s="10"/>
      <c r="AC13" s="11"/>
      <c r="AD13" s="11"/>
      <c r="AE13" s="11"/>
      <c r="AF13" s="11"/>
      <c r="AG13" s="11"/>
      <c r="AH13" s="11"/>
    </row>
    <row r="14" spans="1:34" x14ac:dyDescent="0.15">
      <c r="A14" s="17"/>
      <c r="B14" s="129"/>
      <c r="C14" s="125" t="s">
        <v>180</v>
      </c>
      <c r="D14" s="134"/>
      <c r="E14" s="135"/>
      <c r="F14" s="141"/>
      <c r="G14" s="127" t="s">
        <v>173</v>
      </c>
      <c r="H14" s="131"/>
      <c r="I14" s="131"/>
      <c r="J14" s="136"/>
      <c r="K14" s="136"/>
      <c r="L14" s="131"/>
      <c r="M14" s="131"/>
      <c r="N14" s="131"/>
      <c r="O14" s="131"/>
      <c r="P14" s="131"/>
      <c r="Q14" s="131"/>
      <c r="R14" s="131"/>
      <c r="S14" s="131"/>
      <c r="T14" s="132"/>
      <c r="U14" s="88"/>
      <c r="V14" s="88"/>
      <c r="W14" s="88"/>
      <c r="X14" s="88"/>
      <c r="Y14" s="13"/>
      <c r="Z14" s="8"/>
      <c r="AA14" s="10"/>
      <c r="AB14" s="10"/>
      <c r="AC14" s="11"/>
      <c r="AD14" s="11"/>
      <c r="AE14" s="11"/>
      <c r="AF14" s="11"/>
      <c r="AG14" s="11"/>
      <c r="AH14" s="11"/>
    </row>
    <row r="15" spans="1:34" x14ac:dyDescent="0.15">
      <c r="A15" s="17"/>
      <c r="B15" s="128" t="s">
        <v>175</v>
      </c>
      <c r="C15" s="122" t="s">
        <v>171</v>
      </c>
      <c r="D15" s="123"/>
      <c r="E15" s="138"/>
      <c r="F15" s="139"/>
      <c r="G15" s="127" t="s">
        <v>172</v>
      </c>
      <c r="H15" s="131"/>
      <c r="I15" s="131"/>
      <c r="J15" s="136"/>
      <c r="K15" s="136"/>
      <c r="L15" s="131"/>
      <c r="M15" s="131"/>
      <c r="N15" s="131"/>
      <c r="O15" s="131"/>
      <c r="P15" s="131"/>
      <c r="Q15" s="131"/>
      <c r="R15" s="131"/>
      <c r="S15" s="131"/>
      <c r="T15" s="132"/>
      <c r="U15" s="88"/>
      <c r="V15" s="88"/>
      <c r="W15" s="88"/>
      <c r="X15" s="88"/>
      <c r="Y15" s="13"/>
      <c r="Z15" s="8"/>
      <c r="AA15" s="10"/>
      <c r="AB15" s="10"/>
      <c r="AC15" s="11"/>
      <c r="AD15" s="11"/>
      <c r="AE15" s="11"/>
      <c r="AF15" s="11"/>
      <c r="AG15" s="11"/>
      <c r="AH15" s="11"/>
    </row>
    <row r="16" spans="1:34" x14ac:dyDescent="0.15">
      <c r="A16" s="17"/>
      <c r="B16" s="129"/>
      <c r="C16" s="133" t="s">
        <v>180</v>
      </c>
      <c r="D16" s="134"/>
      <c r="E16" s="135"/>
      <c r="F16" s="141"/>
      <c r="G16" s="127" t="s">
        <v>173</v>
      </c>
      <c r="H16" s="131"/>
      <c r="I16" s="136"/>
      <c r="J16" s="136"/>
      <c r="K16" s="136"/>
      <c r="L16" s="131"/>
      <c r="M16" s="131"/>
      <c r="N16" s="131"/>
      <c r="O16" s="131"/>
      <c r="P16" s="131"/>
      <c r="Q16" s="131"/>
      <c r="R16" s="131"/>
      <c r="S16" s="131"/>
      <c r="T16" s="132"/>
      <c r="U16" s="88"/>
      <c r="V16" s="88"/>
      <c r="W16" s="88"/>
      <c r="X16" s="88"/>
      <c r="Y16" s="13"/>
      <c r="Z16" s="8"/>
      <c r="AA16" s="10"/>
      <c r="AB16" s="10"/>
      <c r="AC16" s="11"/>
      <c r="AD16" s="11"/>
      <c r="AE16" s="11"/>
      <c r="AF16" s="11"/>
      <c r="AG16" s="11"/>
      <c r="AH16" s="11"/>
    </row>
    <row r="17" spans="1:34" x14ac:dyDescent="0.15">
      <c r="A17" s="9"/>
      <c r="B17" s="88"/>
      <c r="C17" s="88"/>
      <c r="D17" s="88"/>
      <c r="E17" s="88"/>
      <c r="F17" s="88"/>
      <c r="G17" s="88"/>
      <c r="H17" s="88"/>
      <c r="I17" s="88"/>
      <c r="J17" s="88"/>
      <c r="K17" s="88"/>
      <c r="L17" s="88"/>
      <c r="M17" s="88"/>
      <c r="N17" s="88"/>
      <c r="O17" s="88"/>
      <c r="P17" s="88"/>
      <c r="Q17" s="88"/>
      <c r="R17" s="88"/>
      <c r="S17" s="88"/>
      <c r="T17" s="88"/>
      <c r="U17" s="88"/>
      <c r="V17" s="88"/>
      <c r="W17" s="88"/>
      <c r="X17" s="88"/>
      <c r="Y17" s="13"/>
      <c r="Z17" s="8"/>
      <c r="AA17" s="10"/>
      <c r="AB17" s="10"/>
      <c r="AC17" s="11"/>
      <c r="AD17" s="11"/>
      <c r="AE17" s="11"/>
      <c r="AF17" s="11"/>
      <c r="AG17" s="11"/>
      <c r="AH17" s="11"/>
    </row>
    <row r="18" spans="1:34" x14ac:dyDescent="0.15">
      <c r="A18" s="9"/>
      <c r="B18" s="88" t="s">
        <v>178</v>
      </c>
      <c r="C18" s="88"/>
      <c r="D18" s="88"/>
      <c r="E18" s="88"/>
      <c r="F18" s="88"/>
      <c r="G18" s="88"/>
      <c r="H18" s="88"/>
      <c r="I18" s="88"/>
      <c r="J18" s="88"/>
      <c r="K18" s="88"/>
      <c r="L18" s="88"/>
      <c r="M18" s="88"/>
      <c r="N18" s="88"/>
      <c r="O18" s="88"/>
      <c r="P18" s="88"/>
      <c r="Q18" s="88"/>
      <c r="R18" s="88"/>
      <c r="S18" s="88"/>
      <c r="T18" s="88"/>
      <c r="U18" s="88"/>
      <c r="V18" s="88"/>
      <c r="W18" s="88"/>
      <c r="X18" s="88"/>
      <c r="Y18" s="13"/>
      <c r="Z18" s="8"/>
      <c r="AA18" s="10"/>
      <c r="AB18" s="10"/>
      <c r="AC18" s="11"/>
      <c r="AD18" s="11"/>
      <c r="AE18" s="11"/>
      <c r="AF18" s="11"/>
      <c r="AG18" s="11"/>
      <c r="AH18" s="11"/>
    </row>
    <row r="19" spans="1:34" x14ac:dyDescent="0.15">
      <c r="A19" s="9"/>
      <c r="B19" s="88"/>
      <c r="C19" s="88"/>
      <c r="D19" s="88"/>
      <c r="E19" s="88"/>
      <c r="F19" s="88"/>
      <c r="G19" s="88"/>
      <c r="H19" s="88"/>
      <c r="I19" s="88"/>
      <c r="J19" s="88"/>
      <c r="K19" s="88"/>
      <c r="L19" s="88"/>
      <c r="M19" s="88"/>
      <c r="N19" s="88"/>
      <c r="O19" s="88"/>
      <c r="P19" s="88"/>
      <c r="Q19" s="88"/>
      <c r="R19" s="88"/>
      <c r="S19" s="88"/>
      <c r="T19" s="88"/>
      <c r="U19" s="88"/>
      <c r="V19" s="88"/>
      <c r="W19" s="88"/>
      <c r="X19" s="88"/>
      <c r="Y19" s="13"/>
      <c r="Z19" s="8"/>
      <c r="AA19" s="10"/>
      <c r="AB19" s="10"/>
      <c r="AC19" s="11"/>
      <c r="AD19" s="11"/>
      <c r="AE19" s="11"/>
      <c r="AF19" s="11"/>
      <c r="AG19" s="11"/>
      <c r="AH19" s="11"/>
    </row>
    <row r="20" spans="1:34" x14ac:dyDescent="0.15">
      <c r="A20" s="9"/>
      <c r="B20" s="88"/>
      <c r="C20" s="88"/>
      <c r="D20" s="88"/>
      <c r="E20" s="88"/>
      <c r="F20" s="88"/>
      <c r="G20" s="88"/>
      <c r="H20" s="88"/>
      <c r="I20" s="88"/>
      <c r="J20" s="88"/>
      <c r="K20" s="88"/>
      <c r="L20" s="88"/>
      <c r="M20" s="88"/>
      <c r="N20" s="88"/>
      <c r="O20" s="88"/>
      <c r="P20" s="88"/>
      <c r="Q20" s="88"/>
      <c r="R20" s="88"/>
      <c r="S20" s="88"/>
      <c r="T20" s="88"/>
      <c r="U20" s="88"/>
      <c r="V20" s="88"/>
      <c r="W20" s="88"/>
      <c r="X20" s="88"/>
      <c r="Y20" s="13"/>
      <c r="Z20" s="8"/>
      <c r="AA20" s="10"/>
      <c r="AB20" s="10"/>
      <c r="AC20" s="11"/>
      <c r="AD20" s="11"/>
      <c r="AE20" s="11"/>
      <c r="AF20" s="11"/>
      <c r="AG20" s="11"/>
      <c r="AH20" s="11"/>
    </row>
    <row r="21" spans="1:34" x14ac:dyDescent="0.15">
      <c r="A21" s="9"/>
      <c r="B21" s="88"/>
      <c r="C21" s="88"/>
      <c r="D21" s="88"/>
      <c r="E21" s="88"/>
      <c r="F21" s="88"/>
      <c r="G21" s="88"/>
      <c r="H21" s="88"/>
      <c r="I21" s="88"/>
      <c r="J21" s="88"/>
      <c r="K21" s="88"/>
      <c r="L21" s="88"/>
      <c r="M21" s="88"/>
      <c r="N21" s="88"/>
      <c r="O21" s="88"/>
      <c r="P21" s="88"/>
      <c r="Q21" s="88"/>
      <c r="R21" s="88"/>
      <c r="S21" s="88"/>
      <c r="T21" s="88"/>
      <c r="U21" s="88"/>
      <c r="V21" s="88"/>
      <c r="W21" s="88"/>
      <c r="X21" s="88"/>
      <c r="Y21" s="13"/>
      <c r="Z21" s="8"/>
      <c r="AA21" s="10"/>
      <c r="AB21" s="10"/>
      <c r="AC21" s="11"/>
      <c r="AD21" s="11"/>
      <c r="AE21" s="11"/>
      <c r="AF21" s="11"/>
      <c r="AG21" s="11"/>
      <c r="AH21" s="11"/>
    </row>
    <row r="22" spans="1:34" x14ac:dyDescent="0.15">
      <c r="A22" s="9"/>
      <c r="B22" s="88"/>
      <c r="C22" s="88"/>
      <c r="D22" s="88"/>
      <c r="E22" s="88"/>
      <c r="F22" s="88"/>
      <c r="G22" s="88"/>
      <c r="H22" s="88"/>
      <c r="I22" s="88"/>
      <c r="J22" s="88"/>
      <c r="K22" s="88"/>
      <c r="L22" s="88"/>
      <c r="M22" s="88"/>
      <c r="N22" s="88"/>
      <c r="O22" s="88"/>
      <c r="P22" s="88"/>
      <c r="Q22" s="88"/>
      <c r="R22" s="88"/>
      <c r="S22" s="88"/>
      <c r="T22" s="88"/>
      <c r="U22" s="88"/>
      <c r="V22" s="88"/>
      <c r="W22" s="88"/>
      <c r="X22" s="88"/>
      <c r="Y22" s="13"/>
      <c r="Z22" s="8"/>
      <c r="AA22" s="10"/>
      <c r="AB22" s="10"/>
      <c r="AC22" s="11"/>
      <c r="AD22" s="11"/>
      <c r="AE22" s="11"/>
      <c r="AF22" s="11"/>
      <c r="AG22" s="11"/>
      <c r="AH22" s="11"/>
    </row>
    <row r="23" spans="1:34" x14ac:dyDescent="0.15">
      <c r="A23" s="9"/>
      <c r="B23" s="88"/>
      <c r="C23" s="88"/>
      <c r="D23" s="88"/>
      <c r="E23" s="88"/>
      <c r="F23" s="88"/>
      <c r="G23" s="88"/>
      <c r="H23" s="88"/>
      <c r="I23" s="88"/>
      <c r="J23" s="88"/>
      <c r="K23" s="88"/>
      <c r="L23" s="88"/>
      <c r="M23" s="88"/>
      <c r="N23" s="88"/>
      <c r="O23" s="88"/>
      <c r="P23" s="88"/>
      <c r="Q23" s="88"/>
      <c r="R23" s="88"/>
      <c r="S23" s="88"/>
      <c r="T23" s="88"/>
      <c r="U23" s="88"/>
      <c r="V23" s="88"/>
      <c r="W23" s="88"/>
      <c r="X23" s="88"/>
      <c r="Y23" s="13"/>
      <c r="Z23" s="8"/>
      <c r="AA23" s="10"/>
      <c r="AB23" s="10"/>
      <c r="AC23" s="11"/>
      <c r="AD23" s="11"/>
      <c r="AE23" s="11"/>
      <c r="AF23" s="11"/>
      <c r="AG23" s="11"/>
      <c r="AH23" s="11"/>
    </row>
    <row r="24" spans="1:34" x14ac:dyDescent="0.15">
      <c r="A24" s="9"/>
      <c r="B24" s="88"/>
      <c r="C24" s="88"/>
      <c r="D24" s="88"/>
      <c r="E24" s="88"/>
      <c r="F24" s="88"/>
      <c r="G24" s="88"/>
      <c r="H24" s="88"/>
      <c r="I24" s="88"/>
      <c r="J24" s="88"/>
      <c r="K24" s="88"/>
      <c r="L24" s="88"/>
      <c r="M24" s="88"/>
      <c r="N24" s="88"/>
      <c r="O24" s="88"/>
      <c r="P24" s="88"/>
      <c r="Q24" s="88"/>
      <c r="R24" s="88"/>
      <c r="S24" s="88"/>
      <c r="T24" s="88"/>
      <c r="U24" s="88"/>
      <c r="V24" s="88"/>
      <c r="W24" s="88"/>
      <c r="X24" s="88"/>
      <c r="Y24" s="13"/>
      <c r="Z24" s="8"/>
      <c r="AA24" s="10"/>
      <c r="AB24" s="10"/>
      <c r="AC24" s="11"/>
      <c r="AD24" s="11"/>
      <c r="AE24" s="11"/>
      <c r="AF24" s="11"/>
      <c r="AG24" s="11"/>
      <c r="AH24" s="11"/>
    </row>
    <row r="25" spans="1:34" x14ac:dyDescent="0.15">
      <c r="A25" s="9"/>
      <c r="B25" s="88"/>
      <c r="C25" s="88"/>
      <c r="D25" s="88"/>
      <c r="E25" s="88"/>
      <c r="F25" s="88"/>
      <c r="G25" s="88"/>
      <c r="H25" s="88"/>
      <c r="I25" s="88"/>
      <c r="J25" s="88"/>
      <c r="K25" s="88"/>
      <c r="L25" s="88"/>
      <c r="M25" s="88"/>
      <c r="N25" s="88"/>
      <c r="O25" s="88"/>
      <c r="P25" s="88"/>
      <c r="Q25" s="88"/>
      <c r="R25" s="88"/>
      <c r="S25" s="88"/>
      <c r="T25" s="88"/>
      <c r="U25" s="88"/>
      <c r="V25" s="88"/>
      <c r="W25" s="88"/>
      <c r="X25" s="88"/>
      <c r="Y25" s="13"/>
      <c r="Z25" s="8"/>
      <c r="AA25" s="10"/>
      <c r="AB25" s="10"/>
      <c r="AC25" s="11"/>
      <c r="AD25" s="11"/>
      <c r="AE25" s="11"/>
      <c r="AF25" s="11"/>
      <c r="AG25" s="11"/>
      <c r="AH25" s="11"/>
    </row>
    <row r="26" spans="1:34" x14ac:dyDescent="0.15">
      <c r="A26" s="9"/>
      <c r="B26" s="88"/>
      <c r="C26" s="88"/>
      <c r="D26" s="88"/>
      <c r="E26" s="88"/>
      <c r="F26" s="88"/>
      <c r="G26" s="88"/>
      <c r="H26" s="88"/>
      <c r="I26" s="88"/>
      <c r="J26" s="88"/>
      <c r="K26" s="88"/>
      <c r="L26" s="88"/>
      <c r="M26" s="88"/>
      <c r="N26" s="88"/>
      <c r="O26" s="88"/>
      <c r="P26" s="88"/>
      <c r="Q26" s="88"/>
      <c r="R26" s="88"/>
      <c r="S26" s="88"/>
      <c r="T26" s="88"/>
      <c r="U26" s="88"/>
      <c r="V26" s="88"/>
      <c r="W26" s="88"/>
      <c r="X26" s="88"/>
      <c r="Y26" s="13"/>
      <c r="Z26" s="8"/>
      <c r="AA26" s="10"/>
      <c r="AB26" s="10"/>
      <c r="AC26" s="11"/>
      <c r="AD26" s="11"/>
      <c r="AE26" s="11"/>
      <c r="AF26" s="11"/>
      <c r="AG26" s="11"/>
      <c r="AH26" s="11"/>
    </row>
    <row r="27" spans="1:34" x14ac:dyDescent="0.15">
      <c r="A27" s="9"/>
      <c r="B27" s="88"/>
      <c r="C27" s="88"/>
      <c r="D27" s="88"/>
      <c r="E27" s="88"/>
      <c r="F27" s="88"/>
      <c r="G27" s="88"/>
      <c r="H27" s="88"/>
      <c r="I27" s="88"/>
      <c r="J27" s="88"/>
      <c r="K27" s="88"/>
      <c r="L27" s="88"/>
      <c r="M27" s="88"/>
      <c r="N27" s="88"/>
      <c r="O27" s="88"/>
      <c r="P27" s="88"/>
      <c r="Q27" s="88"/>
      <c r="R27" s="88"/>
      <c r="S27" s="88"/>
      <c r="T27" s="88"/>
      <c r="U27" s="88"/>
      <c r="V27" s="88"/>
      <c r="W27" s="88"/>
      <c r="X27" s="88"/>
      <c r="Y27" s="13"/>
      <c r="Z27" s="8"/>
      <c r="AA27" s="10"/>
      <c r="AB27" s="10"/>
      <c r="AC27" s="11"/>
      <c r="AD27" s="11"/>
      <c r="AE27" s="11"/>
      <c r="AF27" s="11"/>
      <c r="AG27" s="11"/>
      <c r="AH27" s="11"/>
    </row>
    <row r="28" spans="1:34" x14ac:dyDescent="0.15">
      <c r="A28" s="9"/>
      <c r="B28" s="88"/>
      <c r="C28" s="88"/>
      <c r="D28" s="88"/>
      <c r="E28" s="88"/>
      <c r="F28" s="88"/>
      <c r="G28" s="88"/>
      <c r="H28" s="88"/>
      <c r="I28" s="88"/>
      <c r="J28" s="88"/>
      <c r="K28" s="88"/>
      <c r="L28" s="88"/>
      <c r="M28" s="88"/>
      <c r="N28" s="88"/>
      <c r="O28" s="88"/>
      <c r="P28" s="88"/>
      <c r="Q28" s="88"/>
      <c r="R28" s="88"/>
      <c r="S28" s="88"/>
      <c r="T28" s="88"/>
      <c r="U28" s="88"/>
      <c r="V28" s="88"/>
      <c r="W28" s="88"/>
      <c r="X28" s="88"/>
      <c r="Y28" s="13"/>
      <c r="Z28" s="8"/>
      <c r="AA28" s="10"/>
      <c r="AB28" s="10"/>
      <c r="AC28" s="11"/>
      <c r="AD28" s="11"/>
      <c r="AE28" s="11"/>
      <c r="AF28" s="11"/>
      <c r="AG28" s="11"/>
      <c r="AH28" s="11"/>
    </row>
    <row r="29" spans="1:34" x14ac:dyDescent="0.15">
      <c r="A29" s="9"/>
      <c r="B29" s="88"/>
      <c r="C29" s="88"/>
      <c r="D29" s="88"/>
      <c r="E29" s="88"/>
      <c r="F29" s="88"/>
      <c r="G29" s="88"/>
      <c r="H29" s="88"/>
      <c r="I29" s="88"/>
      <c r="J29" s="88"/>
      <c r="K29" s="88"/>
      <c r="L29" s="88"/>
      <c r="M29" s="88"/>
      <c r="N29" s="88"/>
      <c r="O29" s="88"/>
      <c r="P29" s="88"/>
      <c r="Q29" s="88"/>
      <c r="R29" s="88"/>
      <c r="S29" s="88"/>
      <c r="T29" s="88"/>
      <c r="U29" s="88"/>
      <c r="V29" s="88"/>
      <c r="W29" s="88"/>
      <c r="X29" s="88"/>
      <c r="Y29" s="13"/>
      <c r="Z29" s="8"/>
      <c r="AA29" s="10"/>
      <c r="AB29" s="10"/>
      <c r="AC29" s="11"/>
      <c r="AD29" s="11"/>
      <c r="AE29" s="11"/>
      <c r="AF29" s="11"/>
      <c r="AG29" s="11"/>
      <c r="AH29" s="11"/>
    </row>
    <row r="30" spans="1:34" x14ac:dyDescent="0.15">
      <c r="A30" s="9"/>
      <c r="B30" s="88"/>
      <c r="C30" s="88"/>
      <c r="D30" s="88"/>
      <c r="E30" s="88"/>
      <c r="F30" s="88"/>
      <c r="G30" s="88"/>
      <c r="H30" s="88"/>
      <c r="I30" s="88"/>
      <c r="J30" s="88"/>
      <c r="K30" s="88"/>
      <c r="L30" s="88"/>
      <c r="M30" s="88"/>
      <c r="N30" s="88"/>
      <c r="O30" s="88"/>
      <c r="P30" s="88"/>
      <c r="Q30" s="88"/>
      <c r="R30" s="88"/>
      <c r="S30" s="88"/>
      <c r="T30" s="88"/>
      <c r="U30" s="88"/>
      <c r="V30" s="88"/>
      <c r="W30" s="88"/>
      <c r="X30" s="88"/>
      <c r="Y30" s="13"/>
      <c r="Z30" s="8"/>
      <c r="AA30" s="10"/>
      <c r="AB30" s="10"/>
      <c r="AC30" s="11"/>
      <c r="AD30" s="11"/>
      <c r="AE30" s="11"/>
      <c r="AF30" s="11"/>
      <c r="AG30" s="11"/>
      <c r="AH30" s="11"/>
    </row>
    <row r="31" spans="1:34" x14ac:dyDescent="0.15">
      <c r="A31" s="9"/>
      <c r="B31" s="88" t="s">
        <v>182</v>
      </c>
      <c r="C31" s="88"/>
      <c r="D31" s="88"/>
      <c r="E31" s="88"/>
      <c r="F31" s="88"/>
      <c r="G31" s="88"/>
      <c r="H31" s="88"/>
      <c r="I31" s="88"/>
      <c r="J31" s="88" t="s">
        <v>185</v>
      </c>
      <c r="K31" s="88"/>
      <c r="L31" s="88"/>
      <c r="M31" s="88"/>
      <c r="N31" s="88"/>
      <c r="O31" s="88"/>
      <c r="P31" s="88"/>
      <c r="Q31" s="88"/>
      <c r="R31" s="88"/>
      <c r="S31" s="88"/>
      <c r="T31" s="88"/>
      <c r="U31" s="88"/>
      <c r="V31" s="88"/>
      <c r="W31" s="88"/>
      <c r="X31" s="88"/>
      <c r="Y31" s="13"/>
      <c r="Z31" s="8"/>
      <c r="AA31" s="10"/>
      <c r="AB31" s="11"/>
      <c r="AC31" s="11"/>
      <c r="AD31" s="11"/>
      <c r="AE31" s="11"/>
      <c r="AF31" s="11"/>
      <c r="AG31" s="11"/>
      <c r="AH31" s="11"/>
    </row>
    <row r="32" spans="1:34" x14ac:dyDescent="0.15">
      <c r="A32" s="9"/>
      <c r="B32" s="88"/>
      <c r="C32" s="88"/>
      <c r="D32" s="88"/>
      <c r="E32" s="88"/>
      <c r="F32" s="88"/>
      <c r="G32" s="88"/>
      <c r="H32" s="147" t="s">
        <v>184</v>
      </c>
      <c r="I32" s="88"/>
      <c r="J32" s="88" t="s">
        <v>188</v>
      </c>
      <c r="K32" s="88"/>
      <c r="L32" s="88"/>
      <c r="M32" s="88"/>
      <c r="N32" s="88"/>
      <c r="O32" s="88"/>
      <c r="P32" s="88"/>
      <c r="Q32" s="88"/>
      <c r="R32" s="88"/>
      <c r="S32" s="88"/>
      <c r="T32" s="88"/>
      <c r="U32" s="88"/>
      <c r="V32" s="88"/>
      <c r="W32" s="88"/>
      <c r="X32" s="88"/>
      <c r="Y32" s="13"/>
      <c r="Z32" s="8"/>
      <c r="AA32" s="10"/>
      <c r="AB32" s="11"/>
      <c r="AC32" s="11"/>
      <c r="AD32" s="11"/>
      <c r="AE32" s="11"/>
      <c r="AF32" s="11"/>
      <c r="AG32" s="11"/>
      <c r="AH32" s="11"/>
    </row>
    <row r="33" spans="1:34" x14ac:dyDescent="0.15">
      <c r="A33" s="9"/>
      <c r="B33" s="145" t="str">
        <f>テーブル一覧!AB6</f>
        <v>システム導入時</v>
      </c>
      <c r="C33" s="90"/>
      <c r="D33" s="90"/>
      <c r="E33" s="90"/>
      <c r="F33" s="146"/>
      <c r="G33" s="256" t="e">
        <f>SUM(テーブル一覧!AD8:AE42,テーブル一覧!#REF!)/1024</f>
        <v>#REF!</v>
      </c>
      <c r="H33" s="256"/>
      <c r="I33" s="88"/>
      <c r="J33" s="88" t="s">
        <v>189</v>
      </c>
      <c r="K33" s="88"/>
      <c r="L33" s="88"/>
      <c r="M33" s="88"/>
      <c r="O33" s="148">
        <f>テーブル一覧!AQ25/10000</f>
        <v>260.4468</v>
      </c>
      <c r="P33" s="88" t="s">
        <v>187</v>
      </c>
      <c r="Q33" s="88"/>
      <c r="S33" s="148">
        <f>テーブル一覧!AS25/10000</f>
        <v>1350</v>
      </c>
      <c r="T33" s="88" t="s">
        <v>186</v>
      </c>
      <c r="U33" s="88"/>
      <c r="V33" s="88"/>
      <c r="W33" s="88"/>
      <c r="X33" s="88"/>
      <c r="Y33" s="13"/>
      <c r="Z33" s="8"/>
      <c r="AA33" s="10"/>
      <c r="AB33" s="11"/>
      <c r="AC33" s="11"/>
      <c r="AD33" s="11"/>
      <c r="AE33" s="11"/>
      <c r="AF33" s="11"/>
      <c r="AG33" s="11"/>
      <c r="AH33" s="11"/>
    </row>
    <row r="34" spans="1:34" x14ac:dyDescent="0.15">
      <c r="A34" s="9"/>
      <c r="B34" s="142" t="str">
        <f>テーブル一覧!AF6</f>
        <v>5年後</v>
      </c>
      <c r="C34" s="143"/>
      <c r="D34" s="143"/>
      <c r="E34" s="143"/>
      <c r="F34" s="144"/>
      <c r="G34" s="256" t="e">
        <f>SUM(テーブル一覧!AH8:AI42,テーブル一覧!#REF!)/1024</f>
        <v>#REF!</v>
      </c>
      <c r="H34" s="256"/>
      <c r="I34" s="88"/>
      <c r="J34" s="88" t="s">
        <v>190</v>
      </c>
      <c r="K34" s="88"/>
      <c r="L34" s="88"/>
      <c r="M34" s="88"/>
      <c r="O34" s="148">
        <f>テーブル一覧!AQ26/10000</f>
        <v>14.383100000000001</v>
      </c>
      <c r="P34" s="88" t="s">
        <v>187</v>
      </c>
      <c r="Q34" s="88"/>
      <c r="S34" s="148">
        <f>テーブル一覧!AS26/10000</f>
        <v>75</v>
      </c>
      <c r="T34" s="88" t="s">
        <v>186</v>
      </c>
      <c r="U34" s="88"/>
      <c r="V34" s="88"/>
      <c r="W34" s="88"/>
      <c r="X34" s="88"/>
      <c r="Y34" s="13"/>
      <c r="Z34" s="8"/>
      <c r="AA34" s="10"/>
      <c r="AB34" s="11"/>
      <c r="AC34" s="11"/>
      <c r="AD34" s="11"/>
      <c r="AE34" s="11"/>
      <c r="AF34" s="11"/>
      <c r="AG34" s="11"/>
      <c r="AH34" s="11"/>
    </row>
    <row r="35" spans="1:34" x14ac:dyDescent="0.15">
      <c r="A35" s="9"/>
      <c r="B35" s="88"/>
      <c r="C35" s="88"/>
      <c r="D35" s="88"/>
      <c r="E35" s="88"/>
      <c r="F35" s="88"/>
      <c r="G35" s="88"/>
      <c r="H35" s="88"/>
      <c r="I35" s="88"/>
      <c r="J35" s="88" t="s">
        <v>192</v>
      </c>
      <c r="K35" s="88"/>
      <c r="L35" s="88"/>
      <c r="M35" s="88"/>
      <c r="N35" s="88"/>
      <c r="O35" s="88"/>
      <c r="P35" s="88" t="s">
        <v>193</v>
      </c>
      <c r="Q35" s="88" t="s">
        <v>194</v>
      </c>
      <c r="R35" s="88"/>
      <c r="S35" s="88"/>
      <c r="T35" s="88"/>
      <c r="U35" s="88"/>
      <c r="V35" s="88"/>
      <c r="W35" s="88"/>
      <c r="X35" s="88"/>
      <c r="Y35" s="13"/>
      <c r="Z35" s="8"/>
      <c r="AA35" s="10"/>
      <c r="AB35" s="11"/>
      <c r="AC35" s="11"/>
      <c r="AD35" s="11"/>
      <c r="AE35" s="11"/>
      <c r="AF35" s="11"/>
      <c r="AG35" s="11"/>
      <c r="AH35" s="11"/>
    </row>
    <row r="36" spans="1:34" x14ac:dyDescent="0.15">
      <c r="A36" s="9"/>
      <c r="B36" s="88"/>
      <c r="C36" s="88"/>
      <c r="D36" s="88"/>
      <c r="E36" s="88"/>
      <c r="F36" s="88"/>
      <c r="G36" s="88"/>
      <c r="H36" s="88"/>
      <c r="I36" s="88"/>
      <c r="J36" s="88"/>
      <c r="K36" s="88"/>
      <c r="L36" s="88"/>
      <c r="M36" s="88"/>
      <c r="N36" s="88"/>
      <c r="O36" s="88"/>
      <c r="P36" s="88"/>
      <c r="Q36" s="88"/>
      <c r="R36" s="88"/>
      <c r="S36" s="88"/>
      <c r="T36" s="88"/>
      <c r="U36" s="88"/>
      <c r="V36" s="88"/>
      <c r="W36" s="88"/>
      <c r="X36" s="88"/>
      <c r="Y36" s="13"/>
      <c r="Z36" s="8"/>
      <c r="AA36" s="8"/>
    </row>
    <row r="37" spans="1:34" x14ac:dyDescent="0.15">
      <c r="A37" s="9"/>
      <c r="B37" s="88"/>
      <c r="C37" s="88"/>
      <c r="D37" s="88"/>
      <c r="E37" s="88"/>
      <c r="F37" s="88"/>
      <c r="G37" s="88"/>
      <c r="H37" s="88"/>
      <c r="I37" s="88"/>
      <c r="J37" s="88"/>
      <c r="K37" s="88"/>
      <c r="L37" s="88"/>
      <c r="M37" s="88"/>
      <c r="N37" s="88"/>
      <c r="O37" s="88"/>
      <c r="P37" s="88"/>
      <c r="Q37" s="88"/>
      <c r="R37" s="88"/>
      <c r="S37" s="88"/>
      <c r="T37" s="88"/>
      <c r="U37" s="88"/>
      <c r="V37" s="88"/>
      <c r="W37" s="88"/>
      <c r="X37" s="88"/>
      <c r="Y37" s="13"/>
      <c r="Z37" s="8"/>
      <c r="AA37" s="8"/>
    </row>
    <row r="38" spans="1:34" x14ac:dyDescent="0.15">
      <c r="A38" s="89" t="s">
        <v>15</v>
      </c>
      <c r="B38" s="90"/>
      <c r="C38" s="90"/>
      <c r="D38" s="90"/>
      <c r="E38" s="90"/>
      <c r="F38" s="90"/>
      <c r="G38" s="90"/>
      <c r="H38" s="90"/>
      <c r="I38" s="90"/>
      <c r="J38" s="90"/>
      <c r="K38" s="90"/>
      <c r="L38" s="90"/>
      <c r="M38" s="90"/>
      <c r="N38" s="90"/>
      <c r="O38" s="90"/>
      <c r="P38" s="90"/>
      <c r="Q38" s="90"/>
      <c r="R38" s="90"/>
      <c r="S38" s="90"/>
      <c r="T38" s="90"/>
      <c r="U38" s="90"/>
      <c r="V38" s="90"/>
      <c r="W38" s="90"/>
      <c r="X38" s="90"/>
      <c r="Y38" s="91"/>
      <c r="Z38" s="8"/>
      <c r="AA38" s="8"/>
    </row>
    <row r="39" spans="1:34" x14ac:dyDescent="0.15">
      <c r="A39" s="9"/>
      <c r="B39" s="88"/>
      <c r="C39" s="88"/>
      <c r="D39" s="88"/>
      <c r="E39" s="88"/>
      <c r="F39" s="88"/>
      <c r="G39" s="88"/>
      <c r="H39" s="88"/>
      <c r="I39" s="88"/>
      <c r="J39" s="88"/>
      <c r="K39" s="88"/>
      <c r="L39" s="88"/>
      <c r="M39" s="88"/>
      <c r="N39" s="88"/>
      <c r="O39" s="88"/>
      <c r="P39" s="88"/>
      <c r="Q39" s="88"/>
      <c r="R39" s="88"/>
      <c r="S39" s="88"/>
      <c r="T39" s="88"/>
      <c r="U39" s="88"/>
      <c r="V39" s="88"/>
      <c r="W39" s="88"/>
      <c r="X39" s="88"/>
      <c r="Y39" s="13"/>
      <c r="Z39" s="8"/>
      <c r="AA39" s="8"/>
    </row>
    <row r="40" spans="1:34" x14ac:dyDescent="0.15">
      <c r="A40" s="9"/>
      <c r="B40" s="88"/>
      <c r="C40" s="88"/>
      <c r="D40" s="88"/>
      <c r="E40" s="88"/>
      <c r="F40" s="88"/>
      <c r="G40" s="88"/>
      <c r="H40" s="88"/>
      <c r="I40" s="88"/>
      <c r="J40" s="88"/>
      <c r="K40" s="88"/>
      <c r="L40" s="88"/>
      <c r="M40" s="88"/>
      <c r="N40" s="88"/>
      <c r="O40" s="88"/>
      <c r="P40" s="88"/>
      <c r="Q40" s="88"/>
      <c r="R40" s="88"/>
      <c r="S40" s="88"/>
      <c r="T40" s="88"/>
      <c r="U40" s="88"/>
      <c r="V40" s="88"/>
      <c r="W40" s="88"/>
      <c r="X40" s="88"/>
      <c r="Y40" s="13"/>
      <c r="Z40" s="8"/>
      <c r="AA40" s="8"/>
    </row>
    <row r="41" spans="1:34" x14ac:dyDescent="0.15">
      <c r="A41" s="9"/>
      <c r="B41" s="88"/>
      <c r="C41" s="88"/>
      <c r="D41" s="88"/>
      <c r="E41" s="88"/>
      <c r="F41" s="88"/>
      <c r="G41" s="88"/>
      <c r="H41" s="88"/>
      <c r="I41" s="88"/>
      <c r="J41" s="88"/>
      <c r="K41" s="88"/>
      <c r="L41" s="88"/>
      <c r="M41" s="88"/>
      <c r="N41" s="88"/>
      <c r="O41" s="88"/>
      <c r="P41" s="88"/>
      <c r="Q41" s="88"/>
      <c r="R41" s="88"/>
      <c r="S41" s="88"/>
      <c r="T41" s="88"/>
      <c r="U41" s="88"/>
      <c r="V41" s="88"/>
      <c r="W41" s="88"/>
      <c r="X41" s="88"/>
      <c r="Y41" s="13"/>
      <c r="Z41" s="8"/>
      <c r="AA41" s="8"/>
    </row>
    <row r="42" spans="1:34" x14ac:dyDescent="0.15">
      <c r="A42" s="9"/>
      <c r="B42" s="88"/>
      <c r="C42" s="88"/>
      <c r="D42" s="88"/>
      <c r="E42" s="88"/>
      <c r="F42" s="88"/>
      <c r="G42" s="88"/>
      <c r="H42" s="88"/>
      <c r="I42" s="88"/>
      <c r="J42" s="88"/>
      <c r="K42" s="88"/>
      <c r="L42" s="88"/>
      <c r="M42" s="88"/>
      <c r="N42" s="88"/>
      <c r="O42" s="88"/>
      <c r="P42" s="88"/>
      <c r="Q42" s="88"/>
      <c r="R42" s="88"/>
      <c r="S42" s="88"/>
      <c r="T42" s="88"/>
      <c r="U42" s="88"/>
      <c r="V42" s="88"/>
      <c r="W42" s="88"/>
      <c r="X42" s="88"/>
      <c r="Y42" s="13"/>
      <c r="Z42" s="8"/>
      <c r="AA42" s="8"/>
    </row>
    <row r="43" spans="1:34" x14ac:dyDescent="0.15">
      <c r="A43" s="14"/>
      <c r="B43" s="15"/>
      <c r="C43" s="15"/>
      <c r="D43" s="15"/>
      <c r="E43" s="15"/>
      <c r="F43" s="15"/>
      <c r="G43" s="15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15"/>
      <c r="Y43" s="16"/>
      <c r="Z43" s="8"/>
      <c r="AA43" s="8"/>
    </row>
  </sheetData>
  <mergeCells count="15">
    <mergeCell ref="G33:H33"/>
    <mergeCell ref="G34:H34"/>
    <mergeCell ref="C9:G9"/>
    <mergeCell ref="H9:T9"/>
    <mergeCell ref="A1:F3"/>
    <mergeCell ref="G1:I1"/>
    <mergeCell ref="P1:Q1"/>
    <mergeCell ref="R1:T1"/>
    <mergeCell ref="U1:V1"/>
    <mergeCell ref="W1:Y1"/>
    <mergeCell ref="G2:I2"/>
    <mergeCell ref="P2:Q3"/>
    <mergeCell ref="R2:T3"/>
    <mergeCell ref="W2:Y3"/>
    <mergeCell ref="G3:I3"/>
  </mergeCells>
  <phoneticPr fontId="1"/>
  <printOptions horizontalCentered="1"/>
  <pageMargins left="0.23622047244094491" right="0.23622047244094491" top="0.39370078740157483" bottom="0.39370078740157483" header="0" footer="0"/>
  <pageSetup paperSize="9" fitToHeight="0" orientation="landscape" r:id="rId1"/>
  <headerFooter alignWithMargins="0">
    <oddFooter>&amp;L&amp;F&amp;R&amp;P /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9148A-80AF-4DB6-9D79-701C9AA2A910}">
  <sheetPr codeName="Sheet4"/>
  <dimension ref="A1:AT183"/>
  <sheetViews>
    <sheetView showGridLines="0" zoomScale="85" zoomScaleNormal="85" zoomScaleSheetLayoutView="100" zoomScalePageLayoutView="70" workbookViewId="0">
      <selection activeCell="X13" sqref="X13"/>
    </sheetView>
  </sheetViews>
  <sheetFormatPr defaultColWidth="5.625" defaultRowHeight="13.5" customHeight="1" x14ac:dyDescent="0.15"/>
  <cols>
    <col min="1" max="1" width="5.625" style="12" customWidth="1"/>
    <col min="2" max="15" width="5.625" style="4" customWidth="1"/>
    <col min="16" max="16" width="5.625" style="12" customWidth="1"/>
    <col min="17" max="248" width="5.625" style="4"/>
    <col min="249" max="264" width="5.625" style="4" customWidth="1"/>
    <col min="265" max="504" width="5.625" style="4"/>
    <col min="505" max="520" width="5.625" style="4" customWidth="1"/>
    <col min="521" max="760" width="5.625" style="4"/>
    <col min="761" max="776" width="5.625" style="4" customWidth="1"/>
    <col min="777" max="1016" width="5.625" style="4"/>
    <col min="1017" max="1032" width="5.625" style="4" customWidth="1"/>
    <col min="1033" max="1272" width="5.625" style="4"/>
    <col min="1273" max="1288" width="5.625" style="4" customWidth="1"/>
    <col min="1289" max="1528" width="5.625" style="4"/>
    <col min="1529" max="1544" width="5.625" style="4" customWidth="1"/>
    <col min="1545" max="1784" width="5.625" style="4"/>
    <col min="1785" max="1800" width="5.625" style="4" customWidth="1"/>
    <col min="1801" max="2040" width="5.625" style="4"/>
    <col min="2041" max="2056" width="5.625" style="4" customWidth="1"/>
    <col min="2057" max="2296" width="5.625" style="4"/>
    <col min="2297" max="2312" width="5.625" style="4" customWidth="1"/>
    <col min="2313" max="2552" width="5.625" style="4"/>
    <col min="2553" max="2568" width="5.625" style="4" customWidth="1"/>
    <col min="2569" max="2808" width="5.625" style="4"/>
    <col min="2809" max="2824" width="5.625" style="4" customWidth="1"/>
    <col min="2825" max="3064" width="5.625" style="4"/>
    <col min="3065" max="3080" width="5.625" style="4" customWidth="1"/>
    <col min="3081" max="3320" width="5.625" style="4"/>
    <col min="3321" max="3336" width="5.625" style="4" customWidth="1"/>
    <col min="3337" max="3576" width="5.625" style="4"/>
    <col min="3577" max="3592" width="5.625" style="4" customWidth="1"/>
    <col min="3593" max="3832" width="5.625" style="4"/>
    <col min="3833" max="3848" width="5.625" style="4" customWidth="1"/>
    <col min="3849" max="4088" width="5.625" style="4"/>
    <col min="4089" max="4104" width="5.625" style="4" customWidth="1"/>
    <col min="4105" max="4344" width="5.625" style="4"/>
    <col min="4345" max="4360" width="5.625" style="4" customWidth="1"/>
    <col min="4361" max="4600" width="5.625" style="4"/>
    <col min="4601" max="4616" width="5.625" style="4" customWidth="1"/>
    <col min="4617" max="4856" width="5.625" style="4"/>
    <col min="4857" max="4872" width="5.625" style="4" customWidth="1"/>
    <col min="4873" max="5112" width="5.625" style="4"/>
    <col min="5113" max="5128" width="5.625" style="4" customWidth="1"/>
    <col min="5129" max="5368" width="5.625" style="4"/>
    <col min="5369" max="5384" width="5.625" style="4" customWidth="1"/>
    <col min="5385" max="5624" width="5.625" style="4"/>
    <col min="5625" max="5640" width="5.625" style="4" customWidth="1"/>
    <col min="5641" max="5880" width="5.625" style="4"/>
    <col min="5881" max="5896" width="5.625" style="4" customWidth="1"/>
    <col min="5897" max="6136" width="5.625" style="4"/>
    <col min="6137" max="6152" width="5.625" style="4" customWidth="1"/>
    <col min="6153" max="6392" width="5.625" style="4"/>
    <col min="6393" max="6408" width="5.625" style="4" customWidth="1"/>
    <col min="6409" max="6648" width="5.625" style="4"/>
    <col min="6649" max="6664" width="5.625" style="4" customWidth="1"/>
    <col min="6665" max="6904" width="5.625" style="4"/>
    <col min="6905" max="6920" width="5.625" style="4" customWidth="1"/>
    <col min="6921" max="7160" width="5.625" style="4"/>
    <col min="7161" max="7176" width="5.625" style="4" customWidth="1"/>
    <col min="7177" max="7416" width="5.625" style="4"/>
    <col min="7417" max="7432" width="5.625" style="4" customWidth="1"/>
    <col min="7433" max="7672" width="5.625" style="4"/>
    <col min="7673" max="7688" width="5.625" style="4" customWidth="1"/>
    <col min="7689" max="7928" width="5.625" style="4"/>
    <col min="7929" max="7944" width="5.625" style="4" customWidth="1"/>
    <col min="7945" max="8184" width="5.625" style="4"/>
    <col min="8185" max="8200" width="5.625" style="4" customWidth="1"/>
    <col min="8201" max="8440" width="5.625" style="4"/>
    <col min="8441" max="8456" width="5.625" style="4" customWidth="1"/>
    <col min="8457" max="8696" width="5.625" style="4"/>
    <col min="8697" max="8712" width="5.625" style="4" customWidth="1"/>
    <col min="8713" max="8952" width="5.625" style="4"/>
    <col min="8953" max="8968" width="5.625" style="4" customWidth="1"/>
    <col min="8969" max="9208" width="5.625" style="4"/>
    <col min="9209" max="9224" width="5.625" style="4" customWidth="1"/>
    <col min="9225" max="9464" width="5.625" style="4"/>
    <col min="9465" max="9480" width="5.625" style="4" customWidth="1"/>
    <col min="9481" max="9720" width="5.625" style="4"/>
    <col min="9721" max="9736" width="5.625" style="4" customWidth="1"/>
    <col min="9737" max="9976" width="5.625" style="4"/>
    <col min="9977" max="9992" width="5.625" style="4" customWidth="1"/>
    <col min="9993" max="10232" width="5.625" style="4"/>
    <col min="10233" max="10248" width="5.625" style="4" customWidth="1"/>
    <col min="10249" max="10488" width="5.625" style="4"/>
    <col min="10489" max="10504" width="5.625" style="4" customWidth="1"/>
    <col min="10505" max="10744" width="5.625" style="4"/>
    <col min="10745" max="10760" width="5.625" style="4" customWidth="1"/>
    <col min="10761" max="11000" width="5.625" style="4"/>
    <col min="11001" max="11016" width="5.625" style="4" customWidth="1"/>
    <col min="11017" max="11256" width="5.625" style="4"/>
    <col min="11257" max="11272" width="5.625" style="4" customWidth="1"/>
    <col min="11273" max="11512" width="5.625" style="4"/>
    <col min="11513" max="11528" width="5.625" style="4" customWidth="1"/>
    <col min="11529" max="11768" width="5.625" style="4"/>
    <col min="11769" max="11784" width="5.625" style="4" customWidth="1"/>
    <col min="11785" max="12024" width="5.625" style="4"/>
    <col min="12025" max="12040" width="5.625" style="4" customWidth="1"/>
    <col min="12041" max="12280" width="5.625" style="4"/>
    <col min="12281" max="12296" width="5.625" style="4" customWidth="1"/>
    <col min="12297" max="12536" width="5.625" style="4"/>
    <col min="12537" max="12552" width="5.625" style="4" customWidth="1"/>
    <col min="12553" max="12792" width="5.625" style="4"/>
    <col min="12793" max="12808" width="5.625" style="4" customWidth="1"/>
    <col min="12809" max="13048" width="5.625" style="4"/>
    <col min="13049" max="13064" width="5.625" style="4" customWidth="1"/>
    <col min="13065" max="13304" width="5.625" style="4"/>
    <col min="13305" max="13320" width="5.625" style="4" customWidth="1"/>
    <col min="13321" max="13560" width="5.625" style="4"/>
    <col min="13561" max="13576" width="5.625" style="4" customWidth="1"/>
    <col min="13577" max="13816" width="5.625" style="4"/>
    <col min="13817" max="13832" width="5.625" style="4" customWidth="1"/>
    <col min="13833" max="14072" width="5.625" style="4"/>
    <col min="14073" max="14088" width="5.625" style="4" customWidth="1"/>
    <col min="14089" max="14328" width="5.625" style="4"/>
    <col min="14329" max="14344" width="5.625" style="4" customWidth="1"/>
    <col min="14345" max="14584" width="5.625" style="4"/>
    <col min="14585" max="14600" width="5.625" style="4" customWidth="1"/>
    <col min="14601" max="14840" width="5.625" style="4"/>
    <col min="14841" max="14856" width="5.625" style="4" customWidth="1"/>
    <col min="14857" max="15096" width="5.625" style="4"/>
    <col min="15097" max="15112" width="5.625" style="4" customWidth="1"/>
    <col min="15113" max="15352" width="5.625" style="4"/>
    <col min="15353" max="15368" width="5.625" style="4" customWidth="1"/>
    <col min="15369" max="15608" width="5.625" style="4"/>
    <col min="15609" max="15624" width="5.625" style="4" customWidth="1"/>
    <col min="15625" max="15864" width="5.625" style="4"/>
    <col min="15865" max="15880" width="5.625" style="4" customWidth="1"/>
    <col min="15881" max="16120" width="5.625" style="4"/>
    <col min="16121" max="16136" width="5.625" style="4" customWidth="1"/>
    <col min="16137" max="16384" width="5.625" style="4"/>
  </cols>
  <sheetData>
    <row r="1" spans="1:46" ht="13.5" customHeight="1" x14ac:dyDescent="0.15">
      <c r="A1" s="260" t="s">
        <v>17</v>
      </c>
      <c r="B1" s="261"/>
      <c r="C1" s="261"/>
      <c r="D1" s="261"/>
      <c r="E1" s="261"/>
      <c r="F1" s="262"/>
      <c r="G1" s="243" t="s">
        <v>5</v>
      </c>
      <c r="H1" s="245"/>
      <c r="I1" s="244"/>
      <c r="J1" s="21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243" t="s">
        <v>8</v>
      </c>
      <c r="AC1" s="244"/>
      <c r="AD1" s="243" t="s">
        <v>7</v>
      </c>
      <c r="AE1" s="245"/>
      <c r="AF1" s="244"/>
      <c r="AG1" s="243" t="s">
        <v>9</v>
      </c>
      <c r="AH1" s="244"/>
      <c r="AI1" s="243" t="s">
        <v>10</v>
      </c>
      <c r="AJ1" s="245"/>
      <c r="AK1" s="244"/>
      <c r="AM1" s="269" t="s">
        <v>164</v>
      </c>
      <c r="AN1" s="269"/>
      <c r="AO1" s="269"/>
      <c r="AP1" s="269"/>
      <c r="AQ1" s="120" t="s">
        <v>334</v>
      </c>
    </row>
    <row r="2" spans="1:46" ht="13.5" customHeight="1" x14ac:dyDescent="0.15">
      <c r="A2" s="263"/>
      <c r="B2" s="264"/>
      <c r="C2" s="264"/>
      <c r="D2" s="264"/>
      <c r="E2" s="264"/>
      <c r="F2" s="265"/>
      <c r="G2" s="243" t="s">
        <v>6</v>
      </c>
      <c r="H2" s="245"/>
      <c r="I2" s="244"/>
      <c r="J2" s="21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246"/>
      <c r="AC2" s="247"/>
      <c r="AD2" s="250"/>
      <c r="AE2" s="251"/>
      <c r="AF2" s="252"/>
      <c r="AG2" s="246"/>
      <c r="AH2" s="247"/>
      <c r="AI2" s="250"/>
      <c r="AJ2" s="251"/>
      <c r="AK2" s="252"/>
    </row>
    <row r="3" spans="1:46" ht="13.5" customHeight="1" x14ac:dyDescent="0.15">
      <c r="A3" s="266"/>
      <c r="B3" s="267"/>
      <c r="C3" s="267"/>
      <c r="D3" s="267"/>
      <c r="E3" s="267"/>
      <c r="F3" s="268"/>
      <c r="G3" s="243"/>
      <c r="H3" s="245"/>
      <c r="I3" s="244"/>
      <c r="J3" s="21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248"/>
      <c r="AC3" s="249"/>
      <c r="AD3" s="253"/>
      <c r="AE3" s="254"/>
      <c r="AF3" s="255"/>
      <c r="AG3" s="248"/>
      <c r="AH3" s="249"/>
      <c r="AI3" s="253"/>
      <c r="AJ3" s="254"/>
      <c r="AK3" s="255"/>
    </row>
    <row r="4" spans="1:46" ht="13.5" customHeight="1" x14ac:dyDescent="0.15">
      <c r="A4" s="86"/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8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</row>
    <row r="5" spans="1:46" ht="13.5" customHeight="1" x14ac:dyDescent="0.15">
      <c r="A5" s="83" t="s">
        <v>17</v>
      </c>
      <c r="B5" s="84"/>
      <c r="C5" s="84"/>
      <c r="D5" s="84"/>
      <c r="E5" s="84"/>
      <c r="F5" s="84"/>
      <c r="G5" s="84"/>
      <c r="H5" s="84"/>
      <c r="I5" s="84"/>
      <c r="J5" s="84"/>
      <c r="K5" s="84"/>
      <c r="L5" s="84"/>
      <c r="M5" s="84"/>
      <c r="N5" s="84"/>
      <c r="O5" s="84"/>
      <c r="P5" s="84"/>
      <c r="Q5" s="84"/>
      <c r="R5" s="84"/>
      <c r="S5" s="84"/>
      <c r="T5" s="84"/>
      <c r="U5" s="84"/>
      <c r="V5" s="84"/>
      <c r="W5" s="84"/>
      <c r="X5" s="84"/>
      <c r="Y5" s="84"/>
      <c r="Z5" s="84"/>
      <c r="AA5" s="84"/>
      <c r="AB5" s="84"/>
      <c r="AC5" s="84"/>
      <c r="AD5" s="84"/>
      <c r="AE5" s="84"/>
      <c r="AF5" s="84"/>
      <c r="AG5" s="84"/>
      <c r="AH5" s="84"/>
      <c r="AI5" s="84"/>
      <c r="AJ5" s="84"/>
      <c r="AK5" s="85"/>
    </row>
    <row r="6" spans="1:46" ht="13.5" customHeight="1" x14ac:dyDescent="0.15">
      <c r="A6" s="159"/>
      <c r="B6" s="160"/>
      <c r="C6" s="160"/>
      <c r="D6" s="160"/>
      <c r="E6" s="160"/>
      <c r="F6" s="160"/>
      <c r="G6" s="160"/>
      <c r="H6" s="160"/>
      <c r="I6" s="160"/>
      <c r="J6" s="160"/>
      <c r="K6" s="160"/>
      <c r="L6" s="160"/>
      <c r="M6" s="160"/>
      <c r="N6" s="160"/>
      <c r="O6" s="160"/>
      <c r="P6" s="160"/>
      <c r="Q6" s="160"/>
      <c r="R6" s="160"/>
      <c r="S6" s="160"/>
      <c r="T6" s="160"/>
      <c r="U6" s="160"/>
      <c r="V6" s="160"/>
      <c r="W6" s="160"/>
      <c r="X6" s="160"/>
      <c r="Y6" s="160"/>
      <c r="Z6" s="160"/>
      <c r="AA6" s="160"/>
      <c r="AB6" s="160"/>
      <c r="AC6" s="160"/>
      <c r="AD6" s="160"/>
      <c r="AE6" s="160"/>
      <c r="AF6" s="160"/>
      <c r="AG6" s="160"/>
      <c r="AH6" s="160"/>
      <c r="AI6" s="160"/>
      <c r="AJ6" s="160"/>
      <c r="AK6" s="161"/>
      <c r="AL6" s="8"/>
      <c r="AM6" s="8"/>
    </row>
    <row r="7" spans="1:46" ht="13.5" customHeight="1" x14ac:dyDescent="0.15">
      <c r="A7" s="17"/>
      <c r="B7" s="88"/>
      <c r="C7" s="88"/>
      <c r="D7" s="88"/>
      <c r="E7" s="88"/>
      <c r="F7" s="88"/>
      <c r="G7" s="88"/>
      <c r="H7" s="88"/>
      <c r="I7" s="88"/>
      <c r="J7" s="88"/>
      <c r="K7" s="88"/>
      <c r="L7" s="88"/>
      <c r="M7" s="88"/>
      <c r="N7" s="88"/>
      <c r="O7" s="88"/>
      <c r="P7" s="88"/>
      <c r="Q7" s="88"/>
      <c r="R7" s="88"/>
      <c r="S7" s="88"/>
      <c r="T7" s="88"/>
      <c r="U7" s="88"/>
      <c r="V7" s="88"/>
      <c r="W7" s="88"/>
      <c r="X7" s="88"/>
      <c r="Y7" s="88"/>
      <c r="Z7" s="88"/>
      <c r="AA7" s="88"/>
      <c r="AB7" s="88"/>
      <c r="AC7" s="88"/>
      <c r="AD7" s="88"/>
      <c r="AE7" s="88"/>
      <c r="AF7" s="88"/>
      <c r="AG7" s="88"/>
      <c r="AH7" s="88"/>
      <c r="AI7" s="88"/>
      <c r="AJ7" s="88"/>
      <c r="AK7" s="13"/>
      <c r="AL7" s="8"/>
      <c r="AM7" s="10"/>
      <c r="AN7" s="10"/>
      <c r="AO7" s="11"/>
      <c r="AP7" s="11"/>
      <c r="AQ7" s="11"/>
      <c r="AR7" s="11"/>
      <c r="AS7" s="11"/>
      <c r="AT7" s="11"/>
    </row>
    <row r="8" spans="1:46" ht="13.5" customHeight="1" x14ac:dyDescent="0.15">
      <c r="A8" s="17"/>
      <c r="B8" s="88"/>
      <c r="C8" s="88"/>
      <c r="D8" s="88"/>
      <c r="E8" s="88"/>
      <c r="F8" s="88"/>
      <c r="G8" s="88"/>
      <c r="H8" s="88"/>
      <c r="I8" s="88"/>
      <c r="J8" s="88"/>
      <c r="K8" s="88"/>
      <c r="L8" s="88"/>
      <c r="M8" s="88"/>
      <c r="N8" s="88"/>
      <c r="O8" s="88"/>
      <c r="P8" s="88"/>
      <c r="Q8" s="88"/>
      <c r="R8" s="88"/>
      <c r="S8" s="88"/>
      <c r="T8" s="88"/>
      <c r="U8" s="88"/>
      <c r="V8" s="88"/>
      <c r="W8" s="88"/>
      <c r="X8" s="88"/>
      <c r="Y8" s="88"/>
      <c r="Z8" s="88"/>
      <c r="AA8" s="88"/>
      <c r="AB8" s="88"/>
      <c r="AC8" s="88"/>
      <c r="AD8" s="88"/>
      <c r="AE8" s="88"/>
      <c r="AF8" s="88"/>
      <c r="AG8" s="88"/>
      <c r="AH8" s="88"/>
      <c r="AI8" s="88"/>
      <c r="AJ8" s="88"/>
      <c r="AK8" s="13"/>
      <c r="AL8" s="8"/>
      <c r="AM8" s="10"/>
      <c r="AN8" s="10"/>
      <c r="AO8" s="11"/>
      <c r="AP8" s="11"/>
      <c r="AQ8" s="11"/>
      <c r="AR8" s="11"/>
      <c r="AS8" s="11"/>
      <c r="AT8" s="11"/>
    </row>
    <row r="9" spans="1:46" ht="13.5" customHeight="1" x14ac:dyDescent="0.15">
      <c r="A9" s="17"/>
      <c r="B9" s="88"/>
      <c r="C9" s="88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88"/>
      <c r="P9" s="88"/>
      <c r="Q9" s="88"/>
      <c r="R9" s="88"/>
      <c r="S9" s="88"/>
      <c r="T9" s="88"/>
      <c r="U9" s="88"/>
      <c r="V9" s="88"/>
      <c r="W9" s="88"/>
      <c r="X9" s="88"/>
      <c r="Y9" s="88"/>
      <c r="Z9" s="88"/>
      <c r="AA9" s="88"/>
      <c r="AB9" s="88"/>
      <c r="AC9" s="88"/>
      <c r="AD9" s="88"/>
      <c r="AE9" s="88"/>
      <c r="AF9" s="88"/>
      <c r="AG9" s="88"/>
      <c r="AH9" s="88"/>
      <c r="AI9" s="88"/>
      <c r="AJ9" s="88"/>
      <c r="AK9" s="13"/>
      <c r="AL9" s="8"/>
      <c r="AM9" s="10"/>
      <c r="AN9" s="10"/>
      <c r="AO9" s="11"/>
      <c r="AP9" s="11"/>
      <c r="AQ9" s="11"/>
      <c r="AR9" s="11"/>
      <c r="AS9" s="11"/>
      <c r="AT9" s="11"/>
    </row>
    <row r="10" spans="1:46" ht="13.5" customHeight="1" x14ac:dyDescent="0.15">
      <c r="A10" s="17"/>
      <c r="B10" s="88"/>
      <c r="C10" s="88"/>
      <c r="D10" s="88"/>
      <c r="E10" s="88"/>
      <c r="F10" s="88"/>
      <c r="G10" s="88"/>
      <c r="H10" s="88"/>
      <c r="I10" s="88"/>
      <c r="J10" s="88"/>
      <c r="K10" s="88"/>
      <c r="L10" s="88"/>
      <c r="M10" s="88"/>
      <c r="N10" s="88"/>
      <c r="O10" s="88"/>
      <c r="P10" s="88"/>
      <c r="Q10" s="88"/>
      <c r="R10" s="88"/>
      <c r="S10" s="88"/>
      <c r="T10" s="88"/>
      <c r="U10" s="88"/>
      <c r="V10" s="88"/>
      <c r="W10" s="88"/>
      <c r="X10" s="88"/>
      <c r="Y10" s="88"/>
      <c r="Z10" s="88"/>
      <c r="AA10" s="88"/>
      <c r="AB10" s="88"/>
      <c r="AC10" s="88"/>
      <c r="AD10" s="88"/>
      <c r="AE10" s="88"/>
      <c r="AF10" s="88"/>
      <c r="AG10" s="88"/>
      <c r="AH10" s="88"/>
      <c r="AI10" s="88"/>
      <c r="AJ10" s="88"/>
      <c r="AK10" s="13"/>
      <c r="AL10" s="8"/>
      <c r="AM10" s="10"/>
      <c r="AN10" s="10"/>
      <c r="AO10" s="11"/>
      <c r="AP10" s="11"/>
      <c r="AQ10" s="11"/>
      <c r="AR10" s="11"/>
      <c r="AS10" s="11"/>
      <c r="AT10" s="11"/>
    </row>
    <row r="11" spans="1:46" ht="13.5" customHeight="1" x14ac:dyDescent="0.15">
      <c r="A11" s="17"/>
      <c r="B11" s="88"/>
      <c r="C11" s="88"/>
      <c r="D11" s="88"/>
      <c r="E11" s="88"/>
      <c r="F11" s="88"/>
      <c r="G11" s="88"/>
      <c r="H11" s="88"/>
      <c r="I11" s="88"/>
      <c r="J11" s="88"/>
      <c r="K11" s="88"/>
      <c r="L11" s="88"/>
      <c r="M11" s="88"/>
      <c r="N11" s="88"/>
      <c r="O11" s="88"/>
      <c r="P11" s="88"/>
      <c r="Q11" s="88"/>
      <c r="R11" s="88"/>
      <c r="S11" s="88"/>
      <c r="T11" s="88"/>
      <c r="U11" s="88"/>
      <c r="V11" s="88"/>
      <c r="W11" s="88"/>
      <c r="X11" s="88"/>
      <c r="Y11" s="88"/>
      <c r="Z11" s="88"/>
      <c r="AA11" s="88"/>
      <c r="AB11" s="88"/>
      <c r="AC11" s="88"/>
      <c r="AD11" s="88"/>
      <c r="AE11" s="88"/>
      <c r="AF11" s="88"/>
      <c r="AG11" s="88"/>
      <c r="AH11" s="88"/>
      <c r="AI11" s="88"/>
      <c r="AJ11" s="88"/>
      <c r="AK11" s="13"/>
      <c r="AL11" s="8"/>
      <c r="AM11" s="10"/>
      <c r="AN11" s="10"/>
      <c r="AO11" s="11"/>
      <c r="AP11" s="11"/>
      <c r="AQ11" s="11"/>
      <c r="AR11" s="11"/>
      <c r="AS11" s="11"/>
      <c r="AT11" s="11"/>
    </row>
    <row r="12" spans="1:46" ht="13.5" customHeight="1" x14ac:dyDescent="0.15">
      <c r="A12" s="17"/>
      <c r="B12" s="88"/>
      <c r="C12" s="88"/>
      <c r="D12" s="88"/>
      <c r="E12" s="88"/>
      <c r="F12" s="88"/>
      <c r="G12" s="88"/>
      <c r="H12" s="88"/>
      <c r="I12" s="88"/>
      <c r="J12" s="88"/>
      <c r="K12" s="88"/>
      <c r="L12" s="88"/>
      <c r="M12" s="88"/>
      <c r="N12" s="88"/>
      <c r="O12" s="88"/>
      <c r="P12" s="88"/>
      <c r="Q12" s="88"/>
      <c r="R12" s="88"/>
      <c r="S12" s="88"/>
      <c r="T12" s="88"/>
      <c r="U12" s="88"/>
      <c r="V12" s="88"/>
      <c r="W12" s="88"/>
      <c r="X12" s="88"/>
      <c r="Y12" s="88"/>
      <c r="Z12" s="88"/>
      <c r="AA12" s="88"/>
      <c r="AB12" s="88"/>
      <c r="AC12" s="88"/>
      <c r="AD12" s="88"/>
      <c r="AE12" s="88"/>
      <c r="AF12" s="88"/>
      <c r="AG12" s="88"/>
      <c r="AH12" s="88"/>
      <c r="AI12" s="88"/>
      <c r="AJ12" s="88"/>
      <c r="AK12" s="13"/>
      <c r="AL12" s="8"/>
      <c r="AM12" s="10"/>
      <c r="AN12" s="10"/>
      <c r="AO12" s="11"/>
      <c r="AP12" s="11"/>
      <c r="AQ12" s="11"/>
      <c r="AR12" s="11"/>
      <c r="AS12" s="11"/>
      <c r="AT12" s="11"/>
    </row>
    <row r="13" spans="1:46" ht="13.5" customHeight="1" x14ac:dyDescent="0.15">
      <c r="A13" s="17"/>
      <c r="B13" s="88"/>
      <c r="C13" s="88"/>
      <c r="D13" s="88"/>
      <c r="E13" s="88"/>
      <c r="F13" s="88"/>
      <c r="G13" s="88"/>
      <c r="H13" s="88"/>
      <c r="I13" s="88"/>
      <c r="J13" s="88"/>
      <c r="K13" s="88"/>
      <c r="L13" s="88"/>
      <c r="M13" s="88"/>
      <c r="N13" s="88"/>
      <c r="O13" s="88"/>
      <c r="P13" s="88"/>
      <c r="Q13" s="88"/>
      <c r="R13" s="88"/>
      <c r="S13" s="88"/>
      <c r="T13" s="88"/>
      <c r="U13" s="88"/>
      <c r="V13" s="88"/>
      <c r="W13" s="88"/>
      <c r="X13" s="88"/>
      <c r="Y13" s="88"/>
      <c r="Z13" s="88"/>
      <c r="AA13" s="88"/>
      <c r="AB13" s="88"/>
      <c r="AC13" s="88"/>
      <c r="AD13" s="88"/>
      <c r="AE13" s="88"/>
      <c r="AF13" s="88"/>
      <c r="AG13" s="88"/>
      <c r="AH13" s="88"/>
      <c r="AI13" s="88"/>
      <c r="AJ13" s="88"/>
      <c r="AK13" s="13"/>
      <c r="AL13" s="8"/>
      <c r="AM13" s="10"/>
      <c r="AN13" s="10"/>
      <c r="AO13" s="11"/>
      <c r="AP13" s="11"/>
      <c r="AQ13" s="11"/>
      <c r="AR13" s="11"/>
      <c r="AS13" s="11"/>
      <c r="AT13" s="11"/>
    </row>
    <row r="14" spans="1:46" ht="13.5" customHeight="1" x14ac:dyDescent="0.15">
      <c r="A14" s="17"/>
      <c r="B14" s="88"/>
      <c r="C14" s="88"/>
      <c r="D14" s="88"/>
      <c r="E14" s="88"/>
      <c r="F14" s="88"/>
      <c r="G14" s="88"/>
      <c r="H14" s="88"/>
      <c r="I14" s="88"/>
      <c r="J14" s="88"/>
      <c r="K14" s="88"/>
      <c r="L14" s="88"/>
      <c r="M14" s="88"/>
      <c r="N14" s="88"/>
      <c r="O14" s="88"/>
      <c r="P14" s="88"/>
      <c r="Q14" s="88"/>
      <c r="R14" s="88"/>
      <c r="S14" s="88"/>
      <c r="T14" s="88"/>
      <c r="U14" s="88"/>
      <c r="V14" s="88"/>
      <c r="W14" s="88"/>
      <c r="X14" s="88"/>
      <c r="Y14" s="88"/>
      <c r="Z14" s="88"/>
      <c r="AA14" s="88"/>
      <c r="AB14" s="88"/>
      <c r="AC14" s="88"/>
      <c r="AD14" s="88"/>
      <c r="AE14" s="88"/>
      <c r="AF14" s="88"/>
      <c r="AG14" s="88"/>
      <c r="AH14" s="88"/>
      <c r="AI14" s="88"/>
      <c r="AJ14" s="88"/>
      <c r="AK14" s="13"/>
      <c r="AL14" s="8"/>
      <c r="AM14" s="10"/>
      <c r="AN14" s="10"/>
      <c r="AO14" s="11"/>
      <c r="AP14" s="11"/>
      <c r="AQ14" s="11"/>
      <c r="AR14" s="11"/>
      <c r="AS14" s="11"/>
      <c r="AT14" s="11"/>
    </row>
    <row r="15" spans="1:46" ht="13.5" customHeight="1" x14ac:dyDescent="0.15">
      <c r="A15" s="9"/>
      <c r="B15" s="88"/>
      <c r="C15" s="88"/>
      <c r="D15" s="88"/>
      <c r="E15" s="88"/>
      <c r="F15" s="88"/>
      <c r="G15" s="88"/>
      <c r="H15" s="88"/>
      <c r="I15" s="88"/>
      <c r="J15" s="88"/>
      <c r="K15" s="88"/>
      <c r="L15" s="88"/>
      <c r="M15" s="88"/>
      <c r="N15" s="88"/>
      <c r="O15" s="88"/>
      <c r="P15" s="88"/>
      <c r="Q15" s="88"/>
      <c r="R15" s="88"/>
      <c r="S15" s="88"/>
      <c r="T15" s="88"/>
      <c r="U15" s="88"/>
      <c r="V15" s="88"/>
      <c r="W15" s="88"/>
      <c r="X15" s="88"/>
      <c r="Y15" s="88"/>
      <c r="Z15" s="88"/>
      <c r="AA15" s="88"/>
      <c r="AB15" s="88"/>
      <c r="AC15" s="88"/>
      <c r="AD15" s="88"/>
      <c r="AE15" s="88"/>
      <c r="AF15" s="88"/>
      <c r="AG15" s="88"/>
      <c r="AH15" s="88"/>
      <c r="AI15" s="88"/>
      <c r="AJ15" s="88"/>
      <c r="AK15" s="13"/>
      <c r="AL15" s="8"/>
      <c r="AM15" s="10"/>
      <c r="AN15" s="10"/>
      <c r="AO15" s="11"/>
      <c r="AP15" s="11"/>
      <c r="AQ15" s="11"/>
      <c r="AR15" s="11"/>
      <c r="AS15" s="11"/>
      <c r="AT15" s="11"/>
    </row>
    <row r="16" spans="1:46" ht="13.5" customHeight="1" x14ac:dyDescent="0.15">
      <c r="A16" s="9"/>
      <c r="B16" s="88"/>
      <c r="C16" s="88"/>
      <c r="D16" s="88"/>
      <c r="E16" s="88"/>
      <c r="F16" s="88"/>
      <c r="G16" s="88"/>
      <c r="H16" s="88"/>
      <c r="I16" s="88"/>
      <c r="J16" s="88"/>
      <c r="K16" s="88"/>
      <c r="L16" s="88"/>
      <c r="M16" s="88"/>
      <c r="N16" s="88"/>
      <c r="O16" s="88"/>
      <c r="P16" s="88"/>
      <c r="Q16" s="88"/>
      <c r="R16" s="88"/>
      <c r="S16" s="88"/>
      <c r="T16" s="88"/>
      <c r="U16" s="88"/>
      <c r="V16" s="88"/>
      <c r="W16" s="88"/>
      <c r="X16" s="88"/>
      <c r="Y16" s="88"/>
      <c r="Z16" s="88"/>
      <c r="AA16" s="88"/>
      <c r="AB16" s="88"/>
      <c r="AC16" s="88"/>
      <c r="AD16" s="88"/>
      <c r="AE16" s="88"/>
      <c r="AF16" s="88"/>
      <c r="AG16" s="88"/>
      <c r="AH16" s="88"/>
      <c r="AI16" s="88"/>
      <c r="AJ16" s="88"/>
      <c r="AK16" s="13"/>
      <c r="AL16" s="8"/>
      <c r="AM16" s="10"/>
      <c r="AN16" s="10"/>
      <c r="AO16" s="11"/>
      <c r="AP16" s="11"/>
      <c r="AQ16" s="11"/>
      <c r="AR16" s="11"/>
      <c r="AS16" s="11"/>
      <c r="AT16" s="11"/>
    </row>
    <row r="17" spans="1:46" ht="13.5" customHeight="1" x14ac:dyDescent="0.15">
      <c r="A17" s="9"/>
      <c r="B17" s="88"/>
      <c r="C17" s="88"/>
      <c r="D17" s="88"/>
      <c r="E17" s="88"/>
      <c r="F17" s="88"/>
      <c r="G17" s="88"/>
      <c r="H17" s="88"/>
      <c r="I17" s="88"/>
      <c r="J17" s="88"/>
      <c r="K17" s="88"/>
      <c r="L17" s="88"/>
      <c r="M17" s="88"/>
      <c r="N17" s="88"/>
      <c r="O17" s="88"/>
      <c r="P17" s="88"/>
      <c r="Q17" s="88"/>
      <c r="R17" s="88"/>
      <c r="S17" s="88"/>
      <c r="T17" s="88"/>
      <c r="U17" s="88"/>
      <c r="V17" s="88"/>
      <c r="W17" s="88"/>
      <c r="X17" s="88"/>
      <c r="Y17" s="88"/>
      <c r="Z17" s="88"/>
      <c r="AA17" s="88"/>
      <c r="AB17" s="88"/>
      <c r="AC17" s="88"/>
      <c r="AD17" s="88"/>
      <c r="AE17" s="88"/>
      <c r="AF17" s="88"/>
      <c r="AG17" s="88"/>
      <c r="AH17" s="88"/>
      <c r="AI17" s="88"/>
      <c r="AJ17" s="88"/>
      <c r="AK17" s="13"/>
      <c r="AL17" s="8"/>
      <c r="AM17" s="10"/>
      <c r="AN17" s="10"/>
      <c r="AO17" s="11"/>
      <c r="AP17" s="11"/>
      <c r="AQ17" s="11"/>
      <c r="AR17" s="11"/>
      <c r="AS17" s="11"/>
      <c r="AT17" s="11"/>
    </row>
    <row r="18" spans="1:46" ht="13.5" customHeight="1" x14ac:dyDescent="0.15">
      <c r="A18" s="9"/>
      <c r="B18" s="88"/>
      <c r="C18" s="88"/>
      <c r="D18" s="88"/>
      <c r="E18" s="88"/>
      <c r="F18" s="88"/>
      <c r="G18" s="88"/>
      <c r="H18" s="88"/>
      <c r="I18" s="88"/>
      <c r="J18" s="88"/>
      <c r="K18" s="88"/>
      <c r="L18" s="88"/>
      <c r="M18" s="88"/>
      <c r="N18" s="88"/>
      <c r="O18" s="88"/>
      <c r="P18" s="88"/>
      <c r="Q18" s="88"/>
      <c r="R18" s="88"/>
      <c r="S18" s="88"/>
      <c r="T18" s="88"/>
      <c r="U18" s="88"/>
      <c r="V18" s="88"/>
      <c r="W18" s="88"/>
      <c r="X18" s="88"/>
      <c r="Y18" s="88"/>
      <c r="Z18" s="88"/>
      <c r="AA18" s="88"/>
      <c r="AB18" s="88"/>
      <c r="AC18" s="88"/>
      <c r="AD18" s="88"/>
      <c r="AE18" s="88"/>
      <c r="AF18" s="88"/>
      <c r="AG18" s="88"/>
      <c r="AH18" s="88"/>
      <c r="AI18" s="88"/>
      <c r="AJ18" s="88"/>
      <c r="AK18" s="13"/>
      <c r="AL18" s="8"/>
      <c r="AM18" s="10"/>
      <c r="AN18" s="10"/>
      <c r="AO18" s="11"/>
      <c r="AP18" s="11"/>
      <c r="AQ18" s="11"/>
      <c r="AR18" s="11"/>
      <c r="AS18" s="11"/>
      <c r="AT18" s="11"/>
    </row>
    <row r="19" spans="1:46" ht="13.5" customHeight="1" x14ac:dyDescent="0.15">
      <c r="A19" s="9"/>
      <c r="B19" s="88"/>
      <c r="C19" s="88"/>
      <c r="D19" s="88"/>
      <c r="E19" s="88"/>
      <c r="F19" s="88"/>
      <c r="G19" s="88"/>
      <c r="H19" s="88"/>
      <c r="I19" s="88"/>
      <c r="J19" s="88"/>
      <c r="K19" s="88"/>
      <c r="L19" s="88"/>
      <c r="M19" s="88"/>
      <c r="N19" s="88"/>
      <c r="O19" s="88"/>
      <c r="P19" s="88"/>
      <c r="Q19" s="88"/>
      <c r="R19" s="88"/>
      <c r="S19" s="88"/>
      <c r="T19" s="88"/>
      <c r="U19" s="88"/>
      <c r="V19" s="88"/>
      <c r="W19" s="88"/>
      <c r="X19" s="88"/>
      <c r="Y19" s="88"/>
      <c r="Z19" s="88"/>
      <c r="AA19" s="88"/>
      <c r="AB19" s="88"/>
      <c r="AC19" s="88"/>
      <c r="AD19" s="88"/>
      <c r="AE19" s="88"/>
      <c r="AF19" s="88"/>
      <c r="AG19" s="88"/>
      <c r="AH19" s="88"/>
      <c r="AI19" s="88"/>
      <c r="AJ19" s="88"/>
      <c r="AK19" s="13"/>
      <c r="AL19" s="8"/>
      <c r="AM19" s="10"/>
      <c r="AN19" s="10"/>
      <c r="AO19" s="11"/>
      <c r="AP19" s="11"/>
      <c r="AQ19" s="11"/>
      <c r="AR19" s="11"/>
      <c r="AS19" s="11"/>
      <c r="AT19" s="11"/>
    </row>
    <row r="20" spans="1:46" ht="13.5" customHeight="1" x14ac:dyDescent="0.15">
      <c r="A20" s="9"/>
      <c r="B20" s="88"/>
      <c r="C20" s="88"/>
      <c r="D20" s="88"/>
      <c r="E20" s="88"/>
      <c r="F20" s="88"/>
      <c r="G20" s="88"/>
      <c r="H20" s="88"/>
      <c r="I20" s="88"/>
      <c r="J20" s="88"/>
      <c r="K20" s="88"/>
      <c r="L20" s="88"/>
      <c r="M20" s="88"/>
      <c r="N20" s="88"/>
      <c r="O20" s="88"/>
      <c r="P20" s="88"/>
      <c r="Q20" s="88"/>
      <c r="R20" s="88"/>
      <c r="S20" s="88"/>
      <c r="T20" s="88"/>
      <c r="U20" s="88"/>
      <c r="V20" s="88"/>
      <c r="W20" s="88"/>
      <c r="X20" s="88"/>
      <c r="Y20" s="88"/>
      <c r="Z20" s="88"/>
      <c r="AA20" s="88"/>
      <c r="AB20" s="88"/>
      <c r="AC20" s="88"/>
      <c r="AD20" s="88"/>
      <c r="AE20" s="88"/>
      <c r="AF20" s="88"/>
      <c r="AG20" s="88"/>
      <c r="AH20" s="88"/>
      <c r="AI20" s="88"/>
      <c r="AJ20" s="88"/>
      <c r="AK20" s="13"/>
      <c r="AL20" s="8"/>
      <c r="AM20" s="10"/>
      <c r="AN20" s="10"/>
      <c r="AO20" s="11"/>
      <c r="AP20" s="11"/>
      <c r="AQ20" s="11"/>
      <c r="AR20" s="11"/>
      <c r="AS20" s="11"/>
      <c r="AT20" s="11"/>
    </row>
    <row r="21" spans="1:46" ht="13.5" customHeight="1" x14ac:dyDescent="0.15">
      <c r="A21" s="9"/>
      <c r="B21" s="88"/>
      <c r="C21" s="88"/>
      <c r="D21" s="88"/>
      <c r="E21" s="88"/>
      <c r="F21" s="88"/>
      <c r="G21" s="88"/>
      <c r="H21" s="88"/>
      <c r="I21" s="88"/>
      <c r="J21" s="88"/>
      <c r="K21" s="88"/>
      <c r="L21" s="88"/>
      <c r="M21" s="88"/>
      <c r="N21" s="88"/>
      <c r="O21" s="88"/>
      <c r="P21" s="88"/>
      <c r="Q21" s="88"/>
      <c r="R21" s="88"/>
      <c r="S21" s="88"/>
      <c r="T21" s="88"/>
      <c r="U21" s="88"/>
      <c r="V21" s="88"/>
      <c r="W21" s="88"/>
      <c r="X21" s="88"/>
      <c r="Y21" s="88"/>
      <c r="Z21" s="88"/>
      <c r="AA21" s="88"/>
      <c r="AB21" s="88"/>
      <c r="AC21" s="88"/>
      <c r="AD21" s="88"/>
      <c r="AE21" s="88"/>
      <c r="AF21" s="88"/>
      <c r="AG21" s="88"/>
      <c r="AH21" s="88"/>
      <c r="AI21" s="88"/>
      <c r="AJ21" s="88"/>
      <c r="AK21" s="13"/>
      <c r="AL21" s="8"/>
      <c r="AM21" s="10"/>
      <c r="AN21" s="10"/>
      <c r="AO21" s="11"/>
      <c r="AP21" s="11"/>
      <c r="AQ21" s="11"/>
      <c r="AR21" s="11"/>
      <c r="AS21" s="11"/>
      <c r="AT21" s="11"/>
    </row>
    <row r="22" spans="1:46" ht="13.5" customHeight="1" x14ac:dyDescent="0.15">
      <c r="A22" s="9"/>
      <c r="B22" s="88"/>
      <c r="C22" s="88"/>
      <c r="D22" s="88"/>
      <c r="E22" s="88"/>
      <c r="F22" s="88"/>
      <c r="G22" s="88"/>
      <c r="H22" s="88"/>
      <c r="I22" s="88"/>
      <c r="J22" s="88"/>
      <c r="K22" s="88"/>
      <c r="L22" s="88"/>
      <c r="M22" s="88"/>
      <c r="N22" s="88"/>
      <c r="O22" s="88"/>
      <c r="P22" s="88"/>
      <c r="Q22" s="88"/>
      <c r="R22" s="88"/>
      <c r="S22" s="88"/>
      <c r="T22" s="88"/>
      <c r="U22" s="88"/>
      <c r="V22" s="88"/>
      <c r="W22" s="88"/>
      <c r="X22" s="88"/>
      <c r="Y22" s="88"/>
      <c r="Z22" s="88"/>
      <c r="AA22" s="88"/>
      <c r="AB22" s="88"/>
      <c r="AC22" s="88"/>
      <c r="AD22" s="88"/>
      <c r="AE22" s="88"/>
      <c r="AF22" s="88"/>
      <c r="AG22" s="88"/>
      <c r="AH22" s="88"/>
      <c r="AI22" s="88"/>
      <c r="AJ22" s="88"/>
      <c r="AK22" s="13"/>
      <c r="AL22" s="8"/>
      <c r="AM22" s="10"/>
      <c r="AN22" s="10"/>
      <c r="AO22" s="11"/>
      <c r="AP22" s="11"/>
      <c r="AQ22" s="11"/>
      <c r="AR22" s="11"/>
      <c r="AS22" s="11"/>
      <c r="AT22" s="11"/>
    </row>
    <row r="23" spans="1:46" ht="13.5" customHeight="1" x14ac:dyDescent="0.15">
      <c r="A23" s="9"/>
      <c r="B23" s="88"/>
      <c r="C23" s="88"/>
      <c r="D23" s="88"/>
      <c r="E23" s="88"/>
      <c r="F23" s="88"/>
      <c r="G23" s="88"/>
      <c r="H23" s="88"/>
      <c r="I23" s="88"/>
      <c r="J23" s="88"/>
      <c r="K23" s="88"/>
      <c r="L23" s="88"/>
      <c r="M23" s="88"/>
      <c r="N23" s="88"/>
      <c r="O23" s="88"/>
      <c r="P23" s="88"/>
      <c r="Q23" s="88"/>
      <c r="R23" s="88"/>
      <c r="S23" s="88"/>
      <c r="T23" s="88"/>
      <c r="U23" s="88"/>
      <c r="V23" s="88"/>
      <c r="W23" s="88"/>
      <c r="X23" s="88"/>
      <c r="Y23" s="88"/>
      <c r="Z23" s="88"/>
      <c r="AA23" s="88"/>
      <c r="AB23" s="88"/>
      <c r="AC23" s="88"/>
      <c r="AD23" s="88"/>
      <c r="AE23" s="88"/>
      <c r="AF23" s="88"/>
      <c r="AG23" s="88"/>
      <c r="AH23" s="88"/>
      <c r="AI23" s="88"/>
      <c r="AJ23" s="88"/>
      <c r="AK23" s="13"/>
      <c r="AL23" s="8"/>
      <c r="AM23" s="10"/>
      <c r="AN23" s="10"/>
      <c r="AO23" s="11"/>
      <c r="AP23" s="11"/>
      <c r="AQ23" s="11"/>
      <c r="AR23" s="11"/>
      <c r="AS23" s="11"/>
      <c r="AT23" s="11"/>
    </row>
    <row r="24" spans="1:46" ht="13.5" customHeight="1" x14ac:dyDescent="0.15">
      <c r="A24" s="9"/>
      <c r="B24" s="88"/>
      <c r="C24" s="88"/>
      <c r="D24" s="88"/>
      <c r="E24" s="88"/>
      <c r="F24" s="88"/>
      <c r="G24" s="88"/>
      <c r="H24" s="88"/>
      <c r="I24" s="88"/>
      <c r="J24" s="88"/>
      <c r="K24" s="88"/>
      <c r="L24" s="88"/>
      <c r="M24" s="88"/>
      <c r="N24" s="88"/>
      <c r="O24" s="88"/>
      <c r="P24" s="88"/>
      <c r="Q24" s="88"/>
      <c r="R24" s="88"/>
      <c r="S24" s="88"/>
      <c r="T24" s="88"/>
      <c r="U24" s="88"/>
      <c r="V24" s="88"/>
      <c r="W24" s="88"/>
      <c r="X24" s="88"/>
      <c r="Y24" s="88"/>
      <c r="Z24" s="88"/>
      <c r="AA24" s="88"/>
      <c r="AB24" s="88"/>
      <c r="AC24" s="88"/>
      <c r="AD24" s="88"/>
      <c r="AE24" s="88"/>
      <c r="AF24" s="88"/>
      <c r="AG24" s="88"/>
      <c r="AH24" s="88"/>
      <c r="AI24" s="88"/>
      <c r="AJ24" s="88"/>
      <c r="AK24" s="13"/>
      <c r="AL24" s="8"/>
      <c r="AM24" s="10"/>
      <c r="AN24" s="10"/>
      <c r="AO24" s="11"/>
      <c r="AP24" s="11"/>
      <c r="AQ24" s="11"/>
      <c r="AR24" s="11"/>
      <c r="AS24" s="11"/>
      <c r="AT24" s="11"/>
    </row>
    <row r="25" spans="1:46" ht="13.5" customHeight="1" x14ac:dyDescent="0.15">
      <c r="A25" s="9"/>
      <c r="B25" s="88"/>
      <c r="C25" s="88"/>
      <c r="D25" s="88"/>
      <c r="E25" s="88"/>
      <c r="F25" s="88"/>
      <c r="G25" s="88"/>
      <c r="H25" s="88"/>
      <c r="I25" s="88"/>
      <c r="J25" s="88"/>
      <c r="K25" s="88"/>
      <c r="L25" s="88"/>
      <c r="M25" s="88"/>
      <c r="N25" s="88"/>
      <c r="O25" s="88"/>
      <c r="P25" s="88"/>
      <c r="Q25" s="88"/>
      <c r="R25" s="88"/>
      <c r="S25" s="88"/>
      <c r="T25" s="88"/>
      <c r="U25" s="88"/>
      <c r="V25" s="88"/>
      <c r="W25" s="88"/>
      <c r="X25" s="88"/>
      <c r="Y25" s="88"/>
      <c r="Z25" s="88"/>
      <c r="AA25" s="88"/>
      <c r="AB25" s="88"/>
      <c r="AC25" s="88"/>
      <c r="AD25" s="88"/>
      <c r="AE25" s="88"/>
      <c r="AF25" s="88"/>
      <c r="AG25" s="88"/>
      <c r="AH25" s="88"/>
      <c r="AI25" s="88"/>
      <c r="AJ25" s="88"/>
      <c r="AK25" s="13"/>
      <c r="AL25" s="8"/>
      <c r="AM25" s="10"/>
      <c r="AN25" s="10"/>
      <c r="AO25" s="11"/>
      <c r="AP25" s="11"/>
      <c r="AQ25" s="11"/>
      <c r="AR25" s="11"/>
      <c r="AS25" s="11"/>
      <c r="AT25" s="11"/>
    </row>
    <row r="26" spans="1:46" ht="13.5" customHeight="1" x14ac:dyDescent="0.15">
      <c r="A26" s="9"/>
      <c r="B26" s="88"/>
      <c r="C26" s="88"/>
      <c r="D26" s="88"/>
      <c r="E26" s="88"/>
      <c r="F26" s="88"/>
      <c r="G26" s="88"/>
      <c r="H26" s="88"/>
      <c r="I26" s="88"/>
      <c r="J26" s="88"/>
      <c r="K26" s="88"/>
      <c r="L26" s="88"/>
      <c r="M26" s="88"/>
      <c r="N26" s="88"/>
      <c r="O26" s="88"/>
      <c r="P26" s="88"/>
      <c r="Q26" s="88"/>
      <c r="R26" s="88"/>
      <c r="S26" s="88"/>
      <c r="T26" s="88"/>
      <c r="U26" s="88"/>
      <c r="V26" s="88"/>
      <c r="W26" s="88"/>
      <c r="X26" s="88"/>
      <c r="Y26" s="88"/>
      <c r="Z26" s="88"/>
      <c r="AA26" s="88"/>
      <c r="AB26" s="88"/>
      <c r="AC26" s="88"/>
      <c r="AD26" s="88"/>
      <c r="AE26" s="88"/>
      <c r="AF26" s="88"/>
      <c r="AG26" s="88"/>
      <c r="AH26" s="88"/>
      <c r="AI26" s="88"/>
      <c r="AJ26" s="88"/>
      <c r="AK26" s="13"/>
      <c r="AL26" s="8"/>
      <c r="AM26" s="10"/>
      <c r="AN26" s="10"/>
      <c r="AO26" s="11"/>
      <c r="AP26" s="11"/>
      <c r="AQ26" s="11"/>
      <c r="AR26" s="11"/>
      <c r="AS26" s="11"/>
      <c r="AT26" s="11"/>
    </row>
    <row r="27" spans="1:46" ht="13.5" customHeight="1" x14ac:dyDescent="0.15">
      <c r="A27" s="9"/>
      <c r="B27" s="88"/>
      <c r="C27" s="88"/>
      <c r="D27" s="88"/>
      <c r="E27" s="88"/>
      <c r="F27" s="88"/>
      <c r="G27" s="88"/>
      <c r="H27" s="88"/>
      <c r="I27" s="88"/>
      <c r="J27" s="88"/>
      <c r="K27" s="88"/>
      <c r="L27" s="88"/>
      <c r="M27" s="88"/>
      <c r="N27" s="88"/>
      <c r="O27" s="88"/>
      <c r="P27" s="88"/>
      <c r="Q27" s="88"/>
      <c r="R27" s="88"/>
      <c r="S27" s="88"/>
      <c r="T27" s="88"/>
      <c r="U27" s="88"/>
      <c r="V27" s="88"/>
      <c r="W27" s="88"/>
      <c r="X27" s="88"/>
      <c r="Y27" s="88"/>
      <c r="Z27" s="88"/>
      <c r="AA27" s="88"/>
      <c r="AB27" s="88"/>
      <c r="AC27" s="88"/>
      <c r="AD27" s="88"/>
      <c r="AE27" s="88"/>
      <c r="AF27" s="88"/>
      <c r="AG27" s="88"/>
      <c r="AH27" s="88"/>
      <c r="AI27" s="88"/>
      <c r="AJ27" s="88"/>
      <c r="AK27" s="13"/>
      <c r="AL27" s="8"/>
      <c r="AM27" s="10"/>
      <c r="AN27" s="10"/>
      <c r="AO27" s="11"/>
      <c r="AP27" s="11"/>
      <c r="AQ27" s="11"/>
      <c r="AR27" s="11"/>
      <c r="AS27" s="11"/>
      <c r="AT27" s="11"/>
    </row>
    <row r="28" spans="1:46" ht="13.5" customHeight="1" x14ac:dyDescent="0.15">
      <c r="A28" s="9"/>
      <c r="B28" s="88"/>
      <c r="C28" s="88"/>
      <c r="D28" s="88"/>
      <c r="E28" s="88"/>
      <c r="F28" s="88"/>
      <c r="G28" s="88"/>
      <c r="H28" s="88"/>
      <c r="I28" s="88"/>
      <c r="J28" s="88"/>
      <c r="K28" s="88"/>
      <c r="L28" s="88"/>
      <c r="M28" s="88"/>
      <c r="N28" s="88"/>
      <c r="O28" s="88"/>
      <c r="P28" s="88"/>
      <c r="Q28" s="88"/>
      <c r="R28" s="88"/>
      <c r="S28" s="88"/>
      <c r="T28" s="88"/>
      <c r="U28" s="88"/>
      <c r="V28" s="88"/>
      <c r="W28" s="88"/>
      <c r="X28" s="88"/>
      <c r="Y28" s="88"/>
      <c r="Z28" s="88"/>
      <c r="AA28" s="88"/>
      <c r="AB28" s="88"/>
      <c r="AC28" s="88"/>
      <c r="AD28" s="88"/>
      <c r="AE28" s="88"/>
      <c r="AF28" s="88"/>
      <c r="AG28" s="88"/>
      <c r="AH28" s="88"/>
      <c r="AI28" s="88"/>
      <c r="AJ28" s="88"/>
      <c r="AK28" s="13"/>
      <c r="AL28" s="8"/>
      <c r="AM28" s="10"/>
      <c r="AN28" s="10"/>
      <c r="AO28" s="11"/>
      <c r="AP28" s="11"/>
      <c r="AQ28" s="11"/>
      <c r="AR28" s="11"/>
      <c r="AS28" s="11"/>
      <c r="AT28" s="11"/>
    </row>
    <row r="29" spans="1:46" ht="13.5" customHeight="1" x14ac:dyDescent="0.15">
      <c r="A29" s="9"/>
      <c r="B29" s="88"/>
      <c r="C29" s="88"/>
      <c r="D29" s="88"/>
      <c r="E29" s="88"/>
      <c r="F29" s="88"/>
      <c r="G29" s="88"/>
      <c r="H29" s="88"/>
      <c r="I29" s="88"/>
      <c r="J29" s="88"/>
      <c r="K29" s="88"/>
      <c r="L29" s="88"/>
      <c r="M29" s="88"/>
      <c r="N29" s="88"/>
      <c r="O29" s="88"/>
      <c r="P29" s="88"/>
      <c r="Q29" s="88"/>
      <c r="R29" s="88"/>
      <c r="S29" s="88"/>
      <c r="T29" s="88"/>
      <c r="U29" s="88"/>
      <c r="V29" s="88"/>
      <c r="W29" s="88"/>
      <c r="X29" s="88"/>
      <c r="Y29" s="88"/>
      <c r="Z29" s="88"/>
      <c r="AA29" s="88"/>
      <c r="AB29" s="88"/>
      <c r="AC29" s="88"/>
      <c r="AD29" s="88"/>
      <c r="AE29" s="88"/>
      <c r="AF29" s="88"/>
      <c r="AG29" s="88"/>
      <c r="AH29" s="88"/>
      <c r="AI29" s="88"/>
      <c r="AJ29" s="88"/>
      <c r="AK29" s="13"/>
      <c r="AL29" s="8"/>
      <c r="AM29" s="10"/>
      <c r="AN29" s="10"/>
      <c r="AO29" s="11"/>
      <c r="AP29" s="11"/>
      <c r="AQ29" s="11"/>
      <c r="AR29" s="11"/>
      <c r="AS29" s="11"/>
      <c r="AT29" s="11"/>
    </row>
    <row r="30" spans="1:46" ht="13.5" customHeight="1" x14ac:dyDescent="0.15">
      <c r="A30" s="9"/>
      <c r="B30" s="88"/>
      <c r="C30" s="88"/>
      <c r="D30" s="88"/>
      <c r="E30" s="88"/>
      <c r="F30" s="88"/>
      <c r="G30" s="88"/>
      <c r="H30" s="88"/>
      <c r="I30" s="88"/>
      <c r="J30" s="88"/>
      <c r="K30" s="88"/>
      <c r="L30" s="88"/>
      <c r="M30" s="88"/>
      <c r="N30" s="88"/>
      <c r="O30" s="88"/>
      <c r="P30" s="88"/>
      <c r="Q30" s="88"/>
      <c r="R30" s="88"/>
      <c r="S30" s="88"/>
      <c r="T30" s="88"/>
      <c r="U30" s="88"/>
      <c r="V30" s="88"/>
      <c r="W30" s="88"/>
      <c r="X30" s="88"/>
      <c r="Y30" s="88"/>
      <c r="Z30" s="88"/>
      <c r="AA30" s="88"/>
      <c r="AB30" s="88"/>
      <c r="AC30" s="88"/>
      <c r="AD30" s="88"/>
      <c r="AE30" s="88"/>
      <c r="AF30" s="88"/>
      <c r="AG30" s="88"/>
      <c r="AH30" s="88"/>
      <c r="AI30" s="88"/>
      <c r="AJ30" s="88"/>
      <c r="AK30" s="13"/>
      <c r="AL30" s="8"/>
      <c r="AM30" s="10"/>
      <c r="AN30" s="10"/>
      <c r="AO30" s="11"/>
      <c r="AP30" s="11"/>
      <c r="AQ30" s="11"/>
      <c r="AR30" s="11"/>
      <c r="AS30" s="11"/>
      <c r="AT30" s="11"/>
    </row>
    <row r="31" spans="1:46" ht="13.5" customHeight="1" x14ac:dyDescent="0.15">
      <c r="A31" s="9"/>
      <c r="B31" s="88"/>
      <c r="C31" s="88"/>
      <c r="D31" s="88"/>
      <c r="E31" s="88"/>
      <c r="F31" s="88"/>
      <c r="G31" s="88"/>
      <c r="H31" s="88"/>
      <c r="I31" s="88"/>
      <c r="J31" s="88"/>
      <c r="K31" s="88"/>
      <c r="L31" s="88"/>
      <c r="M31" s="88"/>
      <c r="N31" s="88"/>
      <c r="O31" s="88"/>
      <c r="P31" s="88"/>
      <c r="Q31" s="88"/>
      <c r="R31" s="88"/>
      <c r="S31" s="88"/>
      <c r="T31" s="88"/>
      <c r="U31" s="88"/>
      <c r="V31" s="88"/>
      <c r="W31" s="88"/>
      <c r="X31" s="88"/>
      <c r="Y31" s="88"/>
      <c r="Z31" s="88"/>
      <c r="AA31" s="88"/>
      <c r="AB31" s="88"/>
      <c r="AC31" s="88"/>
      <c r="AD31" s="88"/>
      <c r="AE31" s="88"/>
      <c r="AF31" s="88"/>
      <c r="AG31" s="88"/>
      <c r="AH31" s="88"/>
      <c r="AI31" s="88"/>
      <c r="AJ31" s="88"/>
      <c r="AK31" s="13"/>
      <c r="AL31" s="8"/>
      <c r="AM31" s="10"/>
      <c r="AN31" s="11"/>
      <c r="AO31" s="11"/>
      <c r="AP31" s="11"/>
      <c r="AQ31" s="11"/>
      <c r="AR31" s="11"/>
      <c r="AS31" s="11"/>
      <c r="AT31" s="11"/>
    </row>
    <row r="32" spans="1:46" ht="13.5" customHeight="1" x14ac:dyDescent="0.15">
      <c r="A32" s="9"/>
      <c r="B32" s="88"/>
      <c r="C32" s="88"/>
      <c r="D32" s="88"/>
      <c r="E32" s="88"/>
      <c r="F32" s="88"/>
      <c r="G32" s="88"/>
      <c r="H32" s="88"/>
      <c r="I32" s="88"/>
      <c r="J32" s="88"/>
      <c r="K32" s="88"/>
      <c r="L32" s="88"/>
      <c r="M32" s="88"/>
      <c r="N32" s="88"/>
      <c r="O32" s="88"/>
      <c r="P32" s="88"/>
      <c r="Q32" s="88"/>
      <c r="R32" s="88"/>
      <c r="S32" s="88"/>
      <c r="T32" s="88"/>
      <c r="U32" s="88"/>
      <c r="V32" s="88"/>
      <c r="W32" s="88"/>
      <c r="X32" s="88"/>
      <c r="Y32" s="88"/>
      <c r="Z32" s="88"/>
      <c r="AA32" s="88"/>
      <c r="AB32" s="88"/>
      <c r="AC32" s="88"/>
      <c r="AD32" s="88"/>
      <c r="AE32" s="88"/>
      <c r="AF32" s="88"/>
      <c r="AG32" s="88"/>
      <c r="AH32" s="88"/>
      <c r="AI32" s="88"/>
      <c r="AJ32" s="88"/>
      <c r="AK32" s="13"/>
      <c r="AL32" s="8"/>
      <c r="AM32" s="10"/>
      <c r="AN32" s="11"/>
      <c r="AO32" s="11"/>
      <c r="AP32" s="11"/>
      <c r="AQ32" s="11"/>
      <c r="AR32" s="11"/>
      <c r="AS32" s="11"/>
      <c r="AT32" s="11"/>
    </row>
    <row r="33" spans="1:46" ht="13.5" customHeight="1" x14ac:dyDescent="0.15">
      <c r="A33" s="9"/>
      <c r="B33" s="88"/>
      <c r="C33" s="88"/>
      <c r="D33" s="88"/>
      <c r="E33" s="88"/>
      <c r="F33" s="88"/>
      <c r="G33" s="88"/>
      <c r="H33" s="88"/>
      <c r="I33" s="88"/>
      <c r="J33" s="88"/>
      <c r="K33" s="88"/>
      <c r="L33" s="88"/>
      <c r="M33" s="88"/>
      <c r="N33" s="88"/>
      <c r="O33" s="88"/>
      <c r="P33" s="88"/>
      <c r="Q33" s="88"/>
      <c r="R33" s="88"/>
      <c r="S33" s="88"/>
      <c r="T33" s="88"/>
      <c r="U33" s="88"/>
      <c r="V33" s="88"/>
      <c r="W33" s="88"/>
      <c r="X33" s="88"/>
      <c r="Y33" s="88"/>
      <c r="Z33" s="88"/>
      <c r="AA33" s="88"/>
      <c r="AB33" s="88"/>
      <c r="AC33" s="88"/>
      <c r="AD33" s="88"/>
      <c r="AE33" s="88"/>
      <c r="AF33" s="88"/>
      <c r="AG33" s="88"/>
      <c r="AH33" s="88"/>
      <c r="AI33" s="88"/>
      <c r="AJ33" s="88"/>
      <c r="AK33" s="13"/>
      <c r="AL33" s="8"/>
      <c r="AM33" s="10"/>
      <c r="AN33" s="11"/>
      <c r="AO33" s="11"/>
      <c r="AP33" s="11"/>
      <c r="AQ33" s="11"/>
      <c r="AR33" s="11"/>
      <c r="AS33" s="11"/>
      <c r="AT33" s="11"/>
    </row>
    <row r="34" spans="1:46" ht="13.5" customHeight="1" x14ac:dyDescent="0.15">
      <c r="A34" s="9"/>
      <c r="B34" s="88"/>
      <c r="C34" s="88"/>
      <c r="D34" s="88"/>
      <c r="E34" s="88"/>
      <c r="F34" s="88"/>
      <c r="G34" s="88"/>
      <c r="H34" s="88"/>
      <c r="I34" s="88"/>
      <c r="J34" s="88"/>
      <c r="K34" s="88"/>
      <c r="L34" s="88"/>
      <c r="M34" s="88"/>
      <c r="N34" s="88"/>
      <c r="O34" s="88"/>
      <c r="P34" s="88"/>
      <c r="Q34" s="88"/>
      <c r="R34" s="88"/>
      <c r="S34" s="88"/>
      <c r="T34" s="88"/>
      <c r="U34" s="88"/>
      <c r="V34" s="88"/>
      <c r="W34" s="88"/>
      <c r="X34" s="88"/>
      <c r="Y34" s="88"/>
      <c r="Z34" s="88"/>
      <c r="AA34" s="88"/>
      <c r="AB34" s="88"/>
      <c r="AC34" s="88"/>
      <c r="AD34" s="88"/>
      <c r="AE34" s="88"/>
      <c r="AF34" s="88"/>
      <c r="AG34" s="88"/>
      <c r="AH34" s="88"/>
      <c r="AI34" s="88"/>
      <c r="AJ34" s="88"/>
      <c r="AK34" s="13"/>
      <c r="AL34" s="8"/>
      <c r="AM34" s="10"/>
      <c r="AN34" s="11"/>
      <c r="AO34" s="11"/>
      <c r="AP34" s="11"/>
      <c r="AQ34" s="11"/>
      <c r="AR34" s="11"/>
      <c r="AS34" s="11"/>
      <c r="AT34" s="11"/>
    </row>
    <row r="35" spans="1:46" ht="13.5" customHeight="1" x14ac:dyDescent="0.15">
      <c r="A35" s="9"/>
      <c r="B35" s="88"/>
      <c r="C35" s="88"/>
      <c r="D35" s="88"/>
      <c r="E35" s="88"/>
      <c r="F35" s="88"/>
      <c r="G35" s="88"/>
      <c r="H35" s="88"/>
      <c r="I35" s="88"/>
      <c r="J35" s="88"/>
      <c r="K35" s="88"/>
      <c r="L35" s="88"/>
      <c r="M35" s="88"/>
      <c r="N35" s="88"/>
      <c r="O35" s="88"/>
      <c r="P35" s="88"/>
      <c r="Q35" s="88"/>
      <c r="R35" s="88"/>
      <c r="S35" s="88"/>
      <c r="T35" s="88"/>
      <c r="U35" s="88"/>
      <c r="V35" s="88"/>
      <c r="W35" s="88"/>
      <c r="X35" s="88"/>
      <c r="Y35" s="88"/>
      <c r="Z35" s="88"/>
      <c r="AA35" s="88"/>
      <c r="AB35" s="88"/>
      <c r="AC35" s="88"/>
      <c r="AD35" s="88"/>
      <c r="AE35" s="88"/>
      <c r="AF35" s="88"/>
      <c r="AG35" s="88"/>
      <c r="AH35" s="88"/>
      <c r="AI35" s="88"/>
      <c r="AJ35" s="88"/>
      <c r="AK35" s="13"/>
      <c r="AL35" s="8"/>
      <c r="AM35" s="10"/>
      <c r="AN35" s="11"/>
      <c r="AO35" s="11"/>
      <c r="AP35" s="11"/>
      <c r="AQ35" s="11"/>
      <c r="AR35" s="11"/>
      <c r="AS35" s="11"/>
      <c r="AT35" s="11"/>
    </row>
    <row r="36" spans="1:46" ht="13.5" customHeight="1" x14ac:dyDescent="0.15">
      <c r="A36" s="9"/>
      <c r="B36" s="88"/>
      <c r="C36" s="88"/>
      <c r="D36" s="88"/>
      <c r="E36" s="88"/>
      <c r="F36" s="88"/>
      <c r="G36" s="88"/>
      <c r="H36" s="88"/>
      <c r="I36" s="88"/>
      <c r="J36" s="88"/>
      <c r="K36" s="88"/>
      <c r="L36" s="88"/>
      <c r="M36" s="88"/>
      <c r="N36" s="88"/>
      <c r="O36" s="88"/>
      <c r="P36" s="88"/>
      <c r="Q36" s="88"/>
      <c r="R36" s="88"/>
      <c r="S36" s="88"/>
      <c r="T36" s="88"/>
      <c r="U36" s="88"/>
      <c r="V36" s="88"/>
      <c r="W36" s="88"/>
      <c r="X36" s="88"/>
      <c r="Y36" s="88"/>
      <c r="Z36" s="88"/>
      <c r="AA36" s="88"/>
      <c r="AB36" s="88"/>
      <c r="AC36" s="88"/>
      <c r="AD36" s="88"/>
      <c r="AE36" s="88"/>
      <c r="AF36" s="88"/>
      <c r="AG36" s="88"/>
      <c r="AH36" s="88"/>
      <c r="AI36" s="88"/>
      <c r="AJ36" s="88"/>
      <c r="AK36" s="13"/>
      <c r="AL36" s="8"/>
      <c r="AM36" s="8"/>
    </row>
    <row r="37" spans="1:46" ht="13.5" customHeight="1" x14ac:dyDescent="0.15">
      <c r="A37" s="9"/>
      <c r="B37" s="88"/>
      <c r="C37" s="88"/>
      <c r="D37" s="88"/>
      <c r="E37" s="88"/>
      <c r="F37" s="88"/>
      <c r="G37" s="88"/>
      <c r="H37" s="88"/>
      <c r="I37" s="88"/>
      <c r="J37" s="88"/>
      <c r="K37" s="88"/>
      <c r="L37" s="88"/>
      <c r="M37" s="88"/>
      <c r="N37" s="88"/>
      <c r="O37" s="88"/>
      <c r="P37" s="88"/>
      <c r="Q37" s="88"/>
      <c r="R37" s="88"/>
      <c r="S37" s="88"/>
      <c r="T37" s="88"/>
      <c r="U37" s="88"/>
      <c r="V37" s="88"/>
      <c r="W37" s="88"/>
      <c r="X37" s="88"/>
      <c r="Y37" s="88"/>
      <c r="Z37" s="88"/>
      <c r="AA37" s="88"/>
      <c r="AB37" s="88"/>
      <c r="AC37" s="88"/>
      <c r="AD37" s="88"/>
      <c r="AE37" s="88"/>
      <c r="AF37" s="88"/>
      <c r="AG37" s="88"/>
      <c r="AH37" s="88"/>
      <c r="AI37" s="88"/>
      <c r="AJ37" s="88"/>
      <c r="AK37" s="13"/>
      <c r="AL37" s="8"/>
      <c r="AM37" s="8"/>
    </row>
    <row r="38" spans="1:46" ht="13.5" customHeight="1" x14ac:dyDescent="0.15">
      <c r="A38" s="9"/>
      <c r="B38" s="88"/>
      <c r="C38" s="88"/>
      <c r="D38" s="88"/>
      <c r="E38" s="88"/>
      <c r="F38" s="88"/>
      <c r="G38" s="88"/>
      <c r="H38" s="88"/>
      <c r="I38" s="88"/>
      <c r="J38" s="88"/>
      <c r="K38" s="88"/>
      <c r="L38" s="88"/>
      <c r="M38" s="88"/>
      <c r="N38" s="88"/>
      <c r="O38" s="88"/>
      <c r="P38" s="88"/>
      <c r="Q38" s="88"/>
      <c r="R38" s="88"/>
      <c r="S38" s="88"/>
      <c r="T38" s="88"/>
      <c r="U38" s="88"/>
      <c r="V38" s="88"/>
      <c r="W38" s="88"/>
      <c r="X38" s="88"/>
      <c r="Y38" s="88"/>
      <c r="Z38" s="88"/>
      <c r="AA38" s="88"/>
      <c r="AB38" s="88"/>
      <c r="AC38" s="88"/>
      <c r="AD38" s="88"/>
      <c r="AE38" s="88"/>
      <c r="AF38" s="88"/>
      <c r="AG38" s="88"/>
      <c r="AH38" s="88"/>
      <c r="AI38" s="88"/>
      <c r="AJ38" s="88"/>
      <c r="AK38" s="13"/>
      <c r="AL38" s="8"/>
      <c r="AM38" s="8"/>
    </row>
    <row r="39" spans="1:46" ht="13.5" customHeight="1" x14ac:dyDescent="0.15">
      <c r="A39" s="9"/>
      <c r="B39" s="88"/>
      <c r="C39" s="88"/>
      <c r="D39" s="88"/>
      <c r="E39" s="88"/>
      <c r="F39" s="88"/>
      <c r="G39" s="88"/>
      <c r="H39" s="88"/>
      <c r="I39" s="88"/>
      <c r="J39" s="88"/>
      <c r="K39" s="88"/>
      <c r="L39" s="88"/>
      <c r="M39" s="88"/>
      <c r="N39" s="88"/>
      <c r="O39" s="88"/>
      <c r="P39" s="88"/>
      <c r="Q39" s="88"/>
      <c r="R39" s="88"/>
      <c r="S39" s="88"/>
      <c r="T39" s="88"/>
      <c r="U39" s="88"/>
      <c r="V39" s="88"/>
      <c r="W39" s="88"/>
      <c r="X39" s="88"/>
      <c r="Y39" s="88"/>
      <c r="Z39" s="88"/>
      <c r="AA39" s="88"/>
      <c r="AB39" s="88"/>
      <c r="AC39" s="88"/>
      <c r="AD39" s="88"/>
      <c r="AE39" s="88"/>
      <c r="AF39" s="88"/>
      <c r="AG39" s="88"/>
      <c r="AH39" s="88"/>
      <c r="AI39" s="88"/>
      <c r="AJ39" s="88"/>
      <c r="AK39" s="13"/>
      <c r="AL39" s="8"/>
      <c r="AM39" s="8"/>
    </row>
    <row r="40" spans="1:46" ht="13.5" customHeight="1" x14ac:dyDescent="0.15">
      <c r="A40" s="9"/>
      <c r="B40" s="88"/>
      <c r="C40" s="88"/>
      <c r="D40" s="88"/>
      <c r="E40" s="88"/>
      <c r="F40" s="88"/>
      <c r="G40" s="88"/>
      <c r="H40" s="88"/>
      <c r="I40" s="88"/>
      <c r="J40" s="88"/>
      <c r="K40" s="88"/>
      <c r="L40" s="88"/>
      <c r="M40" s="88"/>
      <c r="N40" s="88"/>
      <c r="O40" s="88"/>
      <c r="P40" s="88"/>
      <c r="Q40" s="88"/>
      <c r="R40" s="88"/>
      <c r="S40" s="88"/>
      <c r="T40" s="88"/>
      <c r="U40" s="88"/>
      <c r="V40" s="88"/>
      <c r="W40" s="88"/>
      <c r="X40" s="88"/>
      <c r="Y40" s="88"/>
      <c r="Z40" s="88"/>
      <c r="AA40" s="88"/>
      <c r="AB40" s="88"/>
      <c r="AC40" s="88"/>
      <c r="AD40" s="88"/>
      <c r="AE40" s="88"/>
      <c r="AF40" s="88"/>
      <c r="AG40" s="88"/>
      <c r="AH40" s="88"/>
      <c r="AI40" s="88"/>
      <c r="AJ40" s="88"/>
      <c r="AK40" s="13"/>
      <c r="AL40" s="8"/>
      <c r="AM40" s="8"/>
    </row>
    <row r="41" spans="1:46" ht="13.5" customHeight="1" x14ac:dyDescent="0.15">
      <c r="A41" s="9"/>
      <c r="B41" s="88"/>
      <c r="C41" s="88"/>
      <c r="D41" s="88"/>
      <c r="E41" s="88"/>
      <c r="F41" s="88"/>
      <c r="G41" s="88"/>
      <c r="H41" s="88"/>
      <c r="I41" s="88"/>
      <c r="J41" s="88"/>
      <c r="K41" s="88"/>
      <c r="L41" s="88"/>
      <c r="M41" s="88"/>
      <c r="N41" s="88"/>
      <c r="O41" s="88"/>
      <c r="P41" s="88"/>
      <c r="Q41" s="88"/>
      <c r="R41" s="88"/>
      <c r="S41" s="88"/>
      <c r="T41" s="88"/>
      <c r="U41" s="88"/>
      <c r="V41" s="88"/>
      <c r="W41" s="88"/>
      <c r="X41" s="88"/>
      <c r="Y41" s="88"/>
      <c r="Z41" s="88"/>
      <c r="AA41" s="88"/>
      <c r="AB41" s="88"/>
      <c r="AC41" s="88"/>
      <c r="AD41" s="88"/>
      <c r="AE41" s="88"/>
      <c r="AF41" s="88"/>
      <c r="AG41" s="88"/>
      <c r="AH41" s="88"/>
      <c r="AI41" s="88"/>
      <c r="AJ41" s="88"/>
      <c r="AK41" s="13"/>
      <c r="AL41" s="8"/>
      <c r="AM41" s="8"/>
    </row>
    <row r="42" spans="1:46" ht="13.5" customHeight="1" x14ac:dyDescent="0.15">
      <c r="A42" s="9"/>
      <c r="B42" s="88"/>
      <c r="C42" s="88"/>
      <c r="D42" s="88"/>
      <c r="E42" s="88"/>
      <c r="F42" s="88"/>
      <c r="G42" s="88"/>
      <c r="H42" s="88"/>
      <c r="I42" s="88"/>
      <c r="J42" s="88"/>
      <c r="K42" s="88"/>
      <c r="L42" s="88"/>
      <c r="M42" s="88"/>
      <c r="N42" s="88"/>
      <c r="O42" s="88"/>
      <c r="P42" s="88"/>
      <c r="Q42" s="88"/>
      <c r="R42" s="88"/>
      <c r="S42" s="88"/>
      <c r="T42" s="88"/>
      <c r="U42" s="88"/>
      <c r="V42" s="88"/>
      <c r="W42" s="88"/>
      <c r="X42" s="88"/>
      <c r="Y42" s="88"/>
      <c r="Z42" s="88"/>
      <c r="AA42" s="88"/>
      <c r="AB42" s="88"/>
      <c r="AC42" s="88"/>
      <c r="AD42" s="88"/>
      <c r="AE42" s="88"/>
      <c r="AF42" s="88"/>
      <c r="AG42" s="88"/>
      <c r="AH42" s="88"/>
      <c r="AI42" s="88"/>
      <c r="AJ42" s="88"/>
      <c r="AK42" s="13"/>
      <c r="AL42" s="8"/>
      <c r="AM42" s="8"/>
    </row>
    <row r="43" spans="1:46" ht="13.5" customHeight="1" x14ac:dyDescent="0.15">
      <c r="A43" s="9"/>
      <c r="B43" s="88"/>
      <c r="C43" s="88"/>
      <c r="D43" s="88"/>
      <c r="E43" s="88"/>
      <c r="F43" s="88"/>
      <c r="G43" s="88"/>
      <c r="H43" s="88"/>
      <c r="I43" s="88"/>
      <c r="J43" s="88"/>
      <c r="K43" s="88"/>
      <c r="L43" s="88"/>
      <c r="M43" s="88"/>
      <c r="N43" s="88"/>
      <c r="O43" s="88"/>
      <c r="P43" s="88"/>
      <c r="Q43" s="88"/>
      <c r="R43" s="88"/>
      <c r="S43" s="88"/>
      <c r="T43" s="88"/>
      <c r="U43" s="88"/>
      <c r="V43" s="88"/>
      <c r="W43" s="88"/>
      <c r="X43" s="88"/>
      <c r="Y43" s="88"/>
      <c r="Z43" s="88"/>
      <c r="AA43" s="88"/>
      <c r="AB43" s="88"/>
      <c r="AC43" s="88"/>
      <c r="AD43" s="88"/>
      <c r="AE43" s="88"/>
      <c r="AF43" s="88"/>
      <c r="AG43" s="88"/>
      <c r="AH43" s="88"/>
      <c r="AI43" s="88"/>
      <c r="AJ43" s="88"/>
      <c r="AK43" s="13"/>
      <c r="AL43" s="8"/>
      <c r="AM43" s="8"/>
    </row>
    <row r="44" spans="1:46" ht="13.5" customHeight="1" x14ac:dyDescent="0.15">
      <c r="A44" s="9"/>
      <c r="B44" s="88"/>
      <c r="C44" s="88"/>
      <c r="D44" s="88"/>
      <c r="E44" s="88"/>
      <c r="F44" s="88"/>
      <c r="G44" s="88"/>
      <c r="H44" s="88"/>
      <c r="I44" s="88"/>
      <c r="J44" s="88"/>
      <c r="K44" s="88"/>
      <c r="L44" s="88"/>
      <c r="M44" s="88"/>
      <c r="N44" s="88"/>
      <c r="O44" s="88"/>
      <c r="P44" s="88"/>
      <c r="Q44" s="88"/>
      <c r="R44" s="88"/>
      <c r="S44" s="88"/>
      <c r="T44" s="88"/>
      <c r="U44" s="88"/>
      <c r="V44" s="88"/>
      <c r="W44" s="88"/>
      <c r="X44" s="88"/>
      <c r="Y44" s="88"/>
      <c r="Z44" s="88"/>
      <c r="AA44" s="88"/>
      <c r="AB44" s="88"/>
      <c r="AC44" s="88"/>
      <c r="AD44" s="88"/>
      <c r="AE44" s="88"/>
      <c r="AF44" s="88"/>
      <c r="AG44" s="88"/>
      <c r="AH44" s="88"/>
      <c r="AI44" s="88"/>
      <c r="AJ44" s="88"/>
      <c r="AK44" s="13"/>
      <c r="AL44" s="8"/>
      <c r="AM44" s="8"/>
    </row>
    <row r="45" spans="1:46" ht="13.5" customHeight="1" x14ac:dyDescent="0.15">
      <c r="A45" s="9"/>
      <c r="B45" s="88"/>
      <c r="C45" s="88"/>
      <c r="D45" s="88"/>
      <c r="E45" s="88"/>
      <c r="F45" s="88"/>
      <c r="G45" s="88"/>
      <c r="H45" s="88"/>
      <c r="I45" s="88"/>
      <c r="J45" s="88"/>
      <c r="K45" s="88"/>
      <c r="L45" s="88"/>
      <c r="M45" s="88"/>
      <c r="N45" s="88"/>
      <c r="O45" s="88"/>
      <c r="P45" s="88"/>
      <c r="Q45" s="88"/>
      <c r="R45" s="88"/>
      <c r="S45" s="88"/>
      <c r="T45" s="88"/>
      <c r="U45" s="88"/>
      <c r="V45" s="88"/>
      <c r="W45" s="88"/>
      <c r="X45" s="88"/>
      <c r="Y45" s="88"/>
      <c r="Z45" s="88"/>
      <c r="AA45" s="88"/>
      <c r="AB45" s="88"/>
      <c r="AC45" s="88"/>
      <c r="AD45" s="88"/>
      <c r="AE45" s="88"/>
      <c r="AF45" s="88"/>
      <c r="AG45" s="88"/>
      <c r="AH45" s="88"/>
      <c r="AI45" s="88"/>
      <c r="AJ45" s="88"/>
      <c r="AK45" s="13"/>
      <c r="AL45" s="8"/>
      <c r="AM45" s="8"/>
    </row>
    <row r="46" spans="1:46" ht="13.5" customHeight="1" x14ac:dyDescent="0.15">
      <c r="A46" s="9"/>
      <c r="B46" s="88"/>
      <c r="C46" s="88"/>
      <c r="D46" s="88"/>
      <c r="E46" s="88"/>
      <c r="F46" s="88"/>
      <c r="G46" s="88"/>
      <c r="H46" s="88"/>
      <c r="I46" s="88"/>
      <c r="J46" s="88"/>
      <c r="K46" s="88"/>
      <c r="L46" s="88"/>
      <c r="M46" s="88"/>
      <c r="N46" s="88"/>
      <c r="O46" s="88"/>
      <c r="P46" s="88"/>
      <c r="Q46" s="88"/>
      <c r="R46" s="88"/>
      <c r="S46" s="88"/>
      <c r="T46" s="88"/>
      <c r="U46" s="88"/>
      <c r="V46" s="88"/>
      <c r="W46" s="88"/>
      <c r="X46" s="88"/>
      <c r="Y46" s="88"/>
      <c r="Z46" s="88"/>
      <c r="AA46" s="88"/>
      <c r="AB46" s="88"/>
      <c r="AC46" s="88"/>
      <c r="AD46" s="88"/>
      <c r="AE46" s="88"/>
      <c r="AF46" s="88"/>
      <c r="AG46" s="88"/>
      <c r="AH46" s="88"/>
      <c r="AI46" s="88"/>
      <c r="AJ46" s="88"/>
      <c r="AK46" s="13"/>
      <c r="AL46" s="8"/>
      <c r="AM46" s="8"/>
      <c r="AR46" s="88"/>
      <c r="AS46" s="88"/>
      <c r="AT46" s="88"/>
    </row>
    <row r="47" spans="1:46" ht="13.5" customHeight="1" x14ac:dyDescent="0.15">
      <c r="A47" s="9"/>
      <c r="B47" s="88"/>
      <c r="C47" s="88"/>
      <c r="D47" s="88"/>
      <c r="E47" s="88"/>
      <c r="F47" s="88"/>
      <c r="G47" s="88"/>
      <c r="H47" s="88"/>
      <c r="I47" s="88"/>
      <c r="J47" s="88"/>
      <c r="K47" s="88"/>
      <c r="L47" s="88"/>
      <c r="M47" s="88"/>
      <c r="N47" s="88"/>
      <c r="O47" s="88"/>
      <c r="P47" s="88"/>
      <c r="Q47" s="88"/>
      <c r="R47" s="88"/>
      <c r="S47" s="88"/>
      <c r="T47" s="88"/>
      <c r="U47" s="88"/>
      <c r="V47" s="88"/>
      <c r="W47" s="88"/>
      <c r="X47" s="88"/>
      <c r="Y47" s="88"/>
      <c r="Z47" s="88"/>
      <c r="AA47" s="88"/>
      <c r="AB47" s="88"/>
      <c r="AC47" s="88"/>
      <c r="AD47" s="88"/>
      <c r="AE47" s="88"/>
      <c r="AF47" s="88"/>
      <c r="AG47" s="88"/>
      <c r="AH47" s="88"/>
      <c r="AI47" s="88"/>
      <c r="AJ47" s="88"/>
      <c r="AK47" s="13"/>
      <c r="AL47" s="8"/>
      <c r="AM47" s="8"/>
      <c r="AR47" s="88"/>
      <c r="AS47" s="88"/>
      <c r="AT47" s="88"/>
    </row>
    <row r="48" spans="1:46" ht="13.5" customHeight="1" x14ac:dyDescent="0.15">
      <c r="A48" s="9"/>
      <c r="B48" s="88"/>
      <c r="C48" s="88"/>
      <c r="D48" s="88"/>
      <c r="E48" s="88"/>
      <c r="F48" s="88"/>
      <c r="G48" s="88"/>
      <c r="H48" s="88"/>
      <c r="I48" s="88"/>
      <c r="J48" s="88"/>
      <c r="K48" s="88"/>
      <c r="L48" s="88"/>
      <c r="M48" s="88"/>
      <c r="N48" s="88"/>
      <c r="O48" s="88"/>
      <c r="P48" s="88"/>
      <c r="Q48" s="88"/>
      <c r="R48" s="88"/>
      <c r="S48" s="88"/>
      <c r="T48" s="88"/>
      <c r="U48" s="88"/>
      <c r="V48" s="88"/>
      <c r="W48" s="88"/>
      <c r="X48" s="88"/>
      <c r="Y48" s="88"/>
      <c r="Z48" s="88"/>
      <c r="AA48" s="88"/>
      <c r="AB48" s="88"/>
      <c r="AC48" s="88"/>
      <c r="AD48" s="88"/>
      <c r="AE48" s="88"/>
      <c r="AF48" s="88"/>
      <c r="AG48" s="88"/>
      <c r="AH48" s="88"/>
      <c r="AI48" s="88"/>
      <c r="AJ48" s="88"/>
      <c r="AK48" s="13"/>
      <c r="AL48" s="8"/>
      <c r="AM48" s="8"/>
      <c r="AR48" s="88"/>
      <c r="AS48" s="88"/>
      <c r="AT48" s="88"/>
    </row>
    <row r="49" spans="1:46" ht="13.5" customHeight="1" x14ac:dyDescent="0.15">
      <c r="A49" s="9"/>
      <c r="B49" s="88"/>
      <c r="C49" s="88"/>
      <c r="D49" s="88"/>
      <c r="E49" s="88"/>
      <c r="F49" s="88"/>
      <c r="G49" s="88"/>
      <c r="H49" s="88"/>
      <c r="I49" s="88"/>
      <c r="J49" s="88"/>
      <c r="K49" s="88"/>
      <c r="L49" s="88"/>
      <c r="M49" s="88"/>
      <c r="N49" s="88"/>
      <c r="O49" s="88"/>
      <c r="P49" s="88"/>
      <c r="Q49" s="88"/>
      <c r="R49" s="88"/>
      <c r="S49" s="88"/>
      <c r="T49" s="88"/>
      <c r="U49" s="88"/>
      <c r="V49" s="88"/>
      <c r="W49" s="11"/>
      <c r="X49" s="88"/>
      <c r="Y49" s="88"/>
      <c r="Z49" s="88"/>
      <c r="AA49" s="88"/>
      <c r="AB49" s="88"/>
      <c r="AC49" s="88"/>
      <c r="AD49" s="88"/>
      <c r="AE49" s="88"/>
      <c r="AF49" s="88"/>
      <c r="AG49" s="88"/>
      <c r="AH49" s="88"/>
      <c r="AI49" s="88"/>
      <c r="AJ49" s="88"/>
      <c r="AK49" s="13"/>
      <c r="AL49" s="8"/>
      <c r="AM49" s="8"/>
      <c r="AR49" s="88"/>
      <c r="AS49" s="88"/>
      <c r="AT49" s="88"/>
    </row>
    <row r="50" spans="1:46" ht="13.5" customHeight="1" x14ac:dyDescent="0.15">
      <c r="A50" s="9"/>
      <c r="B50" s="88"/>
      <c r="C50" s="88"/>
      <c r="D50" s="88"/>
      <c r="E50" s="88"/>
      <c r="F50" s="88"/>
      <c r="G50" s="88"/>
      <c r="H50" s="88"/>
      <c r="I50" s="88"/>
      <c r="J50" s="88"/>
      <c r="K50" s="88"/>
      <c r="L50" s="88"/>
      <c r="M50" s="88"/>
      <c r="N50" s="88"/>
      <c r="O50" s="88"/>
      <c r="P50" s="88"/>
      <c r="Q50" s="88"/>
      <c r="R50" s="88"/>
      <c r="S50" s="88"/>
      <c r="T50" s="88"/>
      <c r="U50" s="88"/>
      <c r="V50" s="88"/>
      <c r="W50" s="11"/>
      <c r="X50" s="88"/>
      <c r="Y50" s="88"/>
      <c r="Z50" s="88"/>
      <c r="AA50" s="88"/>
      <c r="AB50" s="88"/>
      <c r="AC50" s="88"/>
      <c r="AD50" s="88"/>
      <c r="AE50" s="88"/>
      <c r="AF50" s="88"/>
      <c r="AG50" s="88"/>
      <c r="AH50" s="88"/>
      <c r="AI50" s="88"/>
      <c r="AJ50" s="88"/>
      <c r="AK50" s="13"/>
      <c r="AL50" s="8"/>
      <c r="AM50" s="8"/>
      <c r="AR50" s="88"/>
      <c r="AS50" s="88"/>
      <c r="AT50" s="88"/>
    </row>
    <row r="51" spans="1:46" ht="13.5" customHeight="1" x14ac:dyDescent="0.15">
      <c r="A51" s="9"/>
      <c r="B51" s="88"/>
      <c r="C51" s="88"/>
      <c r="D51" s="88"/>
      <c r="E51" s="88"/>
      <c r="F51" s="88"/>
      <c r="G51" s="88"/>
      <c r="H51" s="88"/>
      <c r="I51" s="88"/>
      <c r="J51" s="88"/>
      <c r="K51" s="88"/>
      <c r="L51" s="88"/>
      <c r="M51" s="88"/>
      <c r="N51" s="88"/>
      <c r="O51" s="88"/>
      <c r="P51" s="88"/>
      <c r="Q51" s="88"/>
      <c r="R51" s="88"/>
      <c r="S51" s="88"/>
      <c r="T51" s="88"/>
      <c r="U51" s="88"/>
      <c r="V51" s="88"/>
      <c r="W51" s="11"/>
      <c r="X51" s="88"/>
      <c r="Y51" s="88"/>
      <c r="Z51" s="88"/>
      <c r="AA51" s="88"/>
      <c r="AB51" s="88"/>
      <c r="AC51" s="88"/>
      <c r="AD51" s="88"/>
      <c r="AE51" s="88"/>
      <c r="AF51" s="88"/>
      <c r="AG51" s="88"/>
      <c r="AH51" s="11"/>
      <c r="AI51" s="11"/>
      <c r="AJ51" s="11"/>
      <c r="AK51" s="13"/>
      <c r="AL51" s="8"/>
      <c r="AM51" s="8"/>
      <c r="AR51" s="88"/>
      <c r="AS51" s="88"/>
      <c r="AT51" s="88"/>
    </row>
    <row r="52" spans="1:46" ht="13.5" customHeight="1" x14ac:dyDescent="0.15">
      <c r="A52" s="9"/>
      <c r="B52" s="88"/>
      <c r="C52" s="88"/>
      <c r="D52" s="88"/>
      <c r="E52" s="88"/>
      <c r="F52" s="88"/>
      <c r="G52" s="88"/>
      <c r="H52" s="88"/>
      <c r="I52" s="88"/>
      <c r="J52" s="88"/>
      <c r="K52" s="88"/>
      <c r="L52" s="88"/>
      <c r="M52" s="88"/>
      <c r="N52" s="88"/>
      <c r="O52" s="88"/>
      <c r="P52" s="88"/>
      <c r="Q52" s="88"/>
      <c r="R52" s="88"/>
      <c r="S52" s="88"/>
      <c r="T52" s="88"/>
      <c r="U52" s="88"/>
      <c r="V52" s="88"/>
      <c r="W52" s="11"/>
      <c r="X52" s="88"/>
      <c r="Y52" s="88"/>
      <c r="Z52" s="88"/>
      <c r="AA52" s="88"/>
      <c r="AB52" s="88"/>
      <c r="AC52" s="88"/>
      <c r="AD52" s="88"/>
      <c r="AE52" s="88"/>
      <c r="AF52" s="88"/>
      <c r="AG52" s="88"/>
      <c r="AH52" s="11"/>
      <c r="AI52" s="11"/>
      <c r="AJ52" s="11"/>
      <c r="AK52" s="13"/>
      <c r="AL52" s="8"/>
      <c r="AM52" s="8"/>
      <c r="AR52" s="88"/>
      <c r="AS52" s="88"/>
      <c r="AT52" s="88"/>
    </row>
    <row r="53" spans="1:46" ht="13.5" customHeight="1" x14ac:dyDescent="0.15">
      <c r="A53" s="9"/>
      <c r="B53" s="88"/>
      <c r="C53" s="88"/>
      <c r="D53" s="88"/>
      <c r="E53" s="88"/>
      <c r="F53" s="88"/>
      <c r="G53" s="88"/>
      <c r="H53" s="88"/>
      <c r="I53" s="88"/>
      <c r="J53" s="88"/>
      <c r="K53" s="88"/>
      <c r="L53" s="88"/>
      <c r="M53" s="88"/>
      <c r="N53" s="88"/>
      <c r="O53" s="88"/>
      <c r="P53" s="88"/>
      <c r="Q53" s="88"/>
      <c r="R53" s="88"/>
      <c r="S53" s="88"/>
      <c r="T53" s="88"/>
      <c r="U53" s="88"/>
      <c r="V53" s="88"/>
      <c r="W53" s="11"/>
      <c r="X53" s="88"/>
      <c r="Y53" s="88"/>
      <c r="Z53" s="88"/>
      <c r="AA53" s="88"/>
      <c r="AB53" s="88"/>
      <c r="AC53" s="88"/>
      <c r="AD53" s="88"/>
      <c r="AE53" s="270" t="s">
        <v>166</v>
      </c>
      <c r="AF53" s="271"/>
      <c r="AG53" s="271"/>
      <c r="AH53" s="271"/>
      <c r="AI53" s="271"/>
      <c r="AJ53" s="271"/>
      <c r="AK53" s="272"/>
      <c r="AL53" s="8"/>
      <c r="AM53" s="8"/>
    </row>
    <row r="54" spans="1:46" ht="13.5" customHeight="1" x14ac:dyDescent="0.15">
      <c r="A54" s="9"/>
      <c r="B54" s="88"/>
      <c r="C54" s="88"/>
      <c r="D54" s="88"/>
      <c r="E54" s="88"/>
      <c r="F54" s="88"/>
      <c r="G54" s="88"/>
      <c r="H54" s="88"/>
      <c r="I54" s="88"/>
      <c r="J54" s="88"/>
      <c r="K54" s="88"/>
      <c r="L54" s="88"/>
      <c r="M54" s="88"/>
      <c r="N54" s="88"/>
      <c r="O54" s="88"/>
      <c r="P54" s="88"/>
      <c r="Q54" s="88"/>
      <c r="R54" s="88"/>
      <c r="S54" s="88"/>
      <c r="T54" s="88"/>
      <c r="U54" s="88"/>
      <c r="V54" s="88"/>
      <c r="W54" s="88"/>
      <c r="X54" s="88"/>
      <c r="Y54" s="88"/>
      <c r="Z54" s="88"/>
      <c r="AA54" s="88"/>
      <c r="AB54" s="88"/>
      <c r="AC54" s="88"/>
      <c r="AD54" s="88"/>
      <c r="AE54" s="125"/>
      <c r="AF54" s="88"/>
      <c r="AG54" s="88"/>
      <c r="AH54" s="88"/>
      <c r="AI54" s="88"/>
      <c r="AJ54" s="88"/>
      <c r="AK54" s="126" t="s">
        <v>204</v>
      </c>
      <c r="AL54" s="8"/>
      <c r="AM54" s="8"/>
    </row>
    <row r="55" spans="1:46" ht="13.5" customHeight="1" x14ac:dyDescent="0.15">
      <c r="A55" s="9"/>
      <c r="B55" s="88"/>
      <c r="C55" s="88"/>
      <c r="D55" s="88"/>
      <c r="E55" s="88"/>
      <c r="F55" s="88"/>
      <c r="G55" s="88"/>
      <c r="H55" s="88"/>
      <c r="I55" s="88"/>
      <c r="J55" s="88"/>
      <c r="K55" s="88"/>
      <c r="L55" s="88"/>
      <c r="M55" s="88"/>
      <c r="N55" s="88"/>
      <c r="O55" s="88"/>
      <c r="P55" s="88"/>
      <c r="Q55" s="88"/>
      <c r="R55" s="88"/>
      <c r="S55" s="88"/>
      <c r="T55" s="88"/>
      <c r="U55" s="88"/>
      <c r="V55" s="88"/>
      <c r="W55" s="88"/>
      <c r="X55" s="88"/>
      <c r="Y55" s="88"/>
      <c r="Z55" s="88"/>
      <c r="AA55" s="88"/>
      <c r="AB55" s="88"/>
      <c r="AC55" s="88"/>
      <c r="AD55" s="88"/>
      <c r="AE55" s="125"/>
      <c r="AF55" s="178"/>
      <c r="AG55" s="88" t="s">
        <v>270</v>
      </c>
      <c r="AH55" s="11"/>
      <c r="AI55" s="88"/>
      <c r="AJ55" s="88"/>
      <c r="AK55" s="126"/>
      <c r="AL55" s="8"/>
      <c r="AM55" s="8"/>
    </row>
    <row r="56" spans="1:46" s="10" customFormat="1" ht="13.5" customHeight="1" x14ac:dyDescent="0.15">
      <c r="A56" s="9"/>
      <c r="B56" s="88"/>
      <c r="C56" s="88"/>
      <c r="D56" s="88"/>
      <c r="E56" s="88"/>
      <c r="F56" s="88"/>
      <c r="G56" s="88"/>
      <c r="H56" s="88"/>
      <c r="I56" s="88"/>
      <c r="J56" s="88"/>
      <c r="K56" s="88"/>
      <c r="L56" s="88"/>
      <c r="M56" s="88"/>
      <c r="N56" s="88"/>
      <c r="O56" s="88"/>
      <c r="P56" s="88"/>
      <c r="Q56" s="88"/>
      <c r="R56" s="88"/>
      <c r="S56" s="88"/>
      <c r="T56" s="88"/>
      <c r="U56" s="88"/>
      <c r="V56" s="88"/>
      <c r="W56" s="88"/>
      <c r="X56" s="88"/>
      <c r="Y56" s="88"/>
      <c r="Z56" s="88"/>
      <c r="AA56" s="88"/>
      <c r="AB56" s="88"/>
      <c r="AC56" s="88"/>
      <c r="AD56" s="88"/>
      <c r="AE56" s="125"/>
      <c r="AF56" s="88"/>
      <c r="AG56" s="88"/>
      <c r="AH56" s="88"/>
      <c r="AI56" s="88"/>
      <c r="AJ56" s="88"/>
      <c r="AK56" s="126" t="s">
        <v>94</v>
      </c>
    </row>
    <row r="57" spans="1:46" ht="13.5" customHeight="1" x14ac:dyDescent="0.15">
      <c r="A57" s="9"/>
      <c r="B57" s="88"/>
      <c r="C57" s="88"/>
      <c r="D57" s="88"/>
      <c r="E57" s="88"/>
      <c r="F57" s="88"/>
      <c r="G57" s="88"/>
      <c r="H57" s="88"/>
      <c r="I57" s="88"/>
      <c r="J57" s="88"/>
      <c r="K57" s="88"/>
      <c r="L57" s="88"/>
      <c r="M57" s="88"/>
      <c r="N57" s="88"/>
      <c r="O57" s="88"/>
      <c r="P57" s="88"/>
      <c r="Q57" s="88"/>
      <c r="R57" s="88"/>
      <c r="S57" s="88"/>
      <c r="T57" s="88"/>
      <c r="U57" s="88"/>
      <c r="V57" s="88"/>
      <c r="W57" s="88"/>
      <c r="X57" s="88"/>
      <c r="Y57" s="88"/>
      <c r="Z57" s="88"/>
      <c r="AA57" s="88"/>
      <c r="AB57" s="88"/>
      <c r="AC57" s="88"/>
      <c r="AD57" s="88"/>
      <c r="AE57" s="125"/>
      <c r="AF57" s="179"/>
      <c r="AG57" s="88" t="s">
        <v>271</v>
      </c>
      <c r="AH57" s="88"/>
      <c r="AI57" s="88"/>
      <c r="AJ57" s="88"/>
      <c r="AK57" s="126"/>
      <c r="AL57" s="8"/>
      <c r="AM57" s="8"/>
    </row>
    <row r="58" spans="1:46" ht="13.5" customHeight="1" x14ac:dyDescent="0.15">
      <c r="A58" s="9"/>
      <c r="B58" s="88"/>
      <c r="C58" s="88"/>
      <c r="D58" s="88"/>
      <c r="E58" s="88"/>
      <c r="F58" s="88"/>
      <c r="G58" s="88"/>
      <c r="H58" s="88"/>
      <c r="I58" s="88"/>
      <c r="J58" s="88"/>
      <c r="K58" s="88"/>
      <c r="L58" s="88"/>
      <c r="M58" s="88"/>
      <c r="N58" s="88"/>
      <c r="O58" s="88"/>
      <c r="P58" s="88"/>
      <c r="Q58" s="88"/>
      <c r="R58" s="88"/>
      <c r="S58" s="88"/>
      <c r="T58" s="88"/>
      <c r="U58" s="88"/>
      <c r="V58" s="88"/>
      <c r="W58" s="88"/>
      <c r="X58" s="88"/>
      <c r="Y58" s="88"/>
      <c r="Z58" s="88"/>
      <c r="AA58" s="88"/>
      <c r="AB58" s="88"/>
      <c r="AC58" s="88"/>
      <c r="AD58" s="88"/>
      <c r="AE58" s="125"/>
      <c r="AF58" s="88"/>
      <c r="AG58" s="88"/>
      <c r="AH58" s="88"/>
      <c r="AI58" s="88"/>
      <c r="AJ58" s="88"/>
      <c r="AK58" s="126" t="s">
        <v>165</v>
      </c>
      <c r="AL58" s="8"/>
      <c r="AM58" s="8"/>
    </row>
    <row r="59" spans="1:46" ht="13.5" customHeight="1" x14ac:dyDescent="0.15">
      <c r="A59" s="9"/>
      <c r="B59" s="88"/>
      <c r="C59" s="88"/>
      <c r="D59" s="88"/>
      <c r="E59" s="88"/>
      <c r="F59" s="88"/>
      <c r="G59" s="88"/>
      <c r="H59" s="88"/>
      <c r="I59" s="88"/>
      <c r="J59" s="88"/>
      <c r="K59" s="88"/>
      <c r="L59" s="88"/>
      <c r="M59" s="88"/>
      <c r="N59" s="88"/>
      <c r="O59" s="88"/>
      <c r="P59" s="88"/>
      <c r="Q59" s="88"/>
      <c r="R59" s="88"/>
      <c r="S59" s="88"/>
      <c r="T59" s="88"/>
      <c r="U59" s="88"/>
      <c r="V59" s="88"/>
      <c r="W59" s="88"/>
      <c r="X59" s="88"/>
      <c r="Y59" s="88"/>
      <c r="Z59" s="88"/>
      <c r="AA59" s="88"/>
      <c r="AB59" s="88"/>
      <c r="AC59" s="88"/>
      <c r="AD59" s="88"/>
      <c r="AE59" s="125"/>
      <c r="AF59" s="88"/>
      <c r="AG59" s="88"/>
      <c r="AH59" s="88"/>
      <c r="AI59" s="88"/>
      <c r="AJ59" s="88"/>
      <c r="AK59" s="126"/>
      <c r="AL59" s="8"/>
      <c r="AM59" s="8"/>
    </row>
    <row r="60" spans="1:46" ht="13.5" customHeight="1" x14ac:dyDescent="0.15">
      <c r="A60" s="9"/>
      <c r="B60" s="88"/>
      <c r="C60" s="88"/>
      <c r="D60" s="88"/>
      <c r="E60" s="88"/>
      <c r="F60" s="88"/>
      <c r="G60" s="88"/>
      <c r="H60" s="88"/>
      <c r="I60" s="88"/>
      <c r="J60" s="88"/>
      <c r="K60" s="88"/>
      <c r="L60" s="88"/>
      <c r="M60" s="88"/>
      <c r="N60" s="88"/>
      <c r="O60" s="88"/>
      <c r="P60" s="88"/>
      <c r="Q60" s="88"/>
      <c r="R60" s="88"/>
      <c r="S60" s="88"/>
      <c r="T60" s="88"/>
      <c r="U60" s="88"/>
      <c r="V60" s="88"/>
      <c r="W60" s="88"/>
      <c r="X60" s="88"/>
      <c r="Y60" s="88"/>
      <c r="Z60" s="88"/>
      <c r="AA60" s="88"/>
      <c r="AB60" s="88"/>
      <c r="AC60" s="88"/>
      <c r="AD60" s="88"/>
      <c r="AE60" s="125"/>
      <c r="AF60" s="88"/>
      <c r="AG60" s="88"/>
      <c r="AH60" s="88"/>
      <c r="AI60" s="88"/>
      <c r="AJ60" s="88"/>
      <c r="AK60" s="126" t="s">
        <v>203</v>
      </c>
      <c r="AL60" s="8"/>
      <c r="AM60" s="8"/>
    </row>
    <row r="61" spans="1:46" ht="13.5" customHeight="1" x14ac:dyDescent="0.15">
      <c r="A61" s="14"/>
      <c r="B61" s="15"/>
      <c r="C61" s="15"/>
      <c r="D61" s="15"/>
      <c r="E61" s="15"/>
      <c r="F61" s="15"/>
      <c r="G61" s="15"/>
      <c r="H61" s="15"/>
      <c r="I61" s="15"/>
      <c r="J61" s="15"/>
      <c r="K61" s="15"/>
      <c r="L61" s="15"/>
      <c r="M61" s="15"/>
      <c r="N61" s="15"/>
      <c r="O61" s="15"/>
      <c r="P61" s="15"/>
      <c r="Q61" s="15"/>
      <c r="R61" s="15"/>
      <c r="S61" s="15"/>
      <c r="T61" s="15"/>
      <c r="U61" s="15"/>
      <c r="V61" s="15"/>
      <c r="W61" s="15"/>
      <c r="X61" s="15"/>
      <c r="Y61" s="15"/>
      <c r="Z61" s="15"/>
      <c r="AA61" s="15"/>
      <c r="AB61" s="15"/>
      <c r="AC61" s="15"/>
      <c r="AD61" s="15"/>
      <c r="AE61" s="14"/>
      <c r="AF61" s="15"/>
      <c r="AG61" s="15"/>
      <c r="AH61" s="15"/>
      <c r="AI61" s="15"/>
      <c r="AJ61" s="15"/>
      <c r="AK61" s="16"/>
      <c r="AL61" s="8"/>
      <c r="AM61" s="8"/>
    </row>
    <row r="62" spans="1:46" ht="13.5" customHeight="1" x14ac:dyDescent="0.15">
      <c r="A62" s="260" t="s">
        <v>17</v>
      </c>
      <c r="B62" s="261"/>
      <c r="C62" s="261"/>
      <c r="D62" s="261"/>
      <c r="E62" s="261"/>
      <c r="F62" s="262"/>
      <c r="G62" s="243" t="s">
        <v>5</v>
      </c>
      <c r="H62" s="245"/>
      <c r="I62" s="244"/>
      <c r="J62" s="21">
        <f>J1</f>
        <v>0</v>
      </c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243" t="s">
        <v>8</v>
      </c>
      <c r="AC62" s="244"/>
      <c r="AD62" s="243" t="s">
        <v>7</v>
      </c>
      <c r="AE62" s="245"/>
      <c r="AF62" s="244"/>
      <c r="AG62" s="243" t="s">
        <v>9</v>
      </c>
      <c r="AH62" s="244"/>
      <c r="AI62" s="243" t="s">
        <v>10</v>
      </c>
      <c r="AJ62" s="245"/>
      <c r="AK62" s="244"/>
    </row>
    <row r="63" spans="1:46" ht="13.5" customHeight="1" x14ac:dyDescent="0.15">
      <c r="A63" s="263"/>
      <c r="B63" s="264"/>
      <c r="C63" s="264"/>
      <c r="D63" s="264"/>
      <c r="E63" s="264"/>
      <c r="F63" s="265"/>
      <c r="G63" s="243" t="s">
        <v>6</v>
      </c>
      <c r="H63" s="245"/>
      <c r="I63" s="244"/>
      <c r="J63" s="21">
        <f>J2</f>
        <v>0</v>
      </c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246" t="str">
        <f>IF(AB2&lt;&gt;"", AB2,"")</f>
        <v/>
      </c>
      <c r="AC63" s="247"/>
      <c r="AD63" s="273" t="str">
        <f>IF(AD2&lt;&gt;"", AD2,"")</f>
        <v/>
      </c>
      <c r="AE63" s="274"/>
      <c r="AF63" s="275"/>
      <c r="AG63" s="246" t="str">
        <f>IF(AG2&lt;&gt;"", AG2,"")</f>
        <v/>
      </c>
      <c r="AH63" s="247"/>
      <c r="AI63" s="273" t="str">
        <f>IF(AI2&lt;&gt;"", AI2,"")</f>
        <v/>
      </c>
      <c r="AJ63" s="274"/>
      <c r="AK63" s="275"/>
    </row>
    <row r="64" spans="1:46" ht="13.5" customHeight="1" x14ac:dyDescent="0.15">
      <c r="A64" s="266"/>
      <c r="B64" s="267"/>
      <c r="C64" s="267"/>
      <c r="D64" s="267"/>
      <c r="E64" s="267"/>
      <c r="F64" s="268"/>
      <c r="G64" s="243"/>
      <c r="H64" s="245"/>
      <c r="I64" s="244"/>
      <c r="J64" s="21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248"/>
      <c r="AC64" s="249"/>
      <c r="AD64" s="276"/>
      <c r="AE64" s="277"/>
      <c r="AF64" s="278"/>
      <c r="AG64" s="248"/>
      <c r="AH64" s="249"/>
      <c r="AI64" s="276"/>
      <c r="AJ64" s="277"/>
      <c r="AK64" s="278"/>
    </row>
    <row r="65" spans="1:37" ht="13.5" customHeight="1" x14ac:dyDescent="0.15">
      <c r="A65" s="86"/>
      <c r="B65" s="11"/>
      <c r="C65" s="11"/>
      <c r="D65" s="11"/>
      <c r="E65" s="11"/>
      <c r="F65" s="11"/>
      <c r="G65" s="11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8"/>
      <c r="AC65" s="11"/>
      <c r="AD65" s="11"/>
      <c r="AE65" s="11"/>
      <c r="AF65" s="11"/>
      <c r="AG65" s="11"/>
      <c r="AH65" s="11"/>
      <c r="AI65" s="11"/>
      <c r="AJ65" s="11"/>
      <c r="AK65" s="11"/>
    </row>
    <row r="66" spans="1:37" ht="13.5" customHeight="1" x14ac:dyDescent="0.15">
      <c r="A66" s="83" t="s">
        <v>17</v>
      </c>
      <c r="B66" s="84"/>
      <c r="C66" s="84"/>
      <c r="D66" s="84"/>
      <c r="E66" s="84"/>
      <c r="F66" s="84"/>
      <c r="G66" s="84"/>
      <c r="H66" s="84"/>
      <c r="I66" s="84"/>
      <c r="J66" s="84"/>
      <c r="K66" s="84"/>
      <c r="L66" s="84"/>
      <c r="M66" s="84"/>
      <c r="N66" s="84"/>
      <c r="O66" s="84"/>
      <c r="P66" s="84"/>
      <c r="Q66" s="84"/>
      <c r="R66" s="84"/>
      <c r="S66" s="84"/>
      <c r="T66" s="84"/>
      <c r="U66" s="84"/>
      <c r="V66" s="84"/>
      <c r="W66" s="84"/>
      <c r="X66" s="84"/>
      <c r="Y66" s="84"/>
      <c r="Z66" s="84"/>
      <c r="AA66" s="84"/>
      <c r="AB66" s="84"/>
      <c r="AC66" s="84"/>
      <c r="AD66" s="84"/>
      <c r="AE66" s="84"/>
      <c r="AF66" s="84"/>
      <c r="AG66" s="84"/>
      <c r="AH66" s="84"/>
      <c r="AI66" s="84"/>
      <c r="AJ66" s="84"/>
      <c r="AK66" s="85"/>
    </row>
    <row r="67" spans="1:37" ht="13.5" customHeight="1" x14ac:dyDescent="0.15">
      <c r="A67" s="159"/>
      <c r="B67" s="160"/>
      <c r="C67" s="160"/>
      <c r="D67" s="160"/>
      <c r="E67" s="160"/>
      <c r="F67" s="160"/>
      <c r="G67" s="160"/>
      <c r="H67" s="160"/>
      <c r="I67" s="160"/>
      <c r="J67" s="160"/>
      <c r="K67" s="160"/>
      <c r="L67" s="160"/>
      <c r="M67" s="160"/>
      <c r="N67" s="160"/>
      <c r="O67" s="160"/>
      <c r="P67" s="160"/>
      <c r="Q67" s="160"/>
      <c r="R67" s="160"/>
      <c r="S67" s="160"/>
      <c r="T67" s="160"/>
      <c r="U67" s="160"/>
      <c r="V67" s="160"/>
      <c r="W67" s="160"/>
      <c r="X67" s="160"/>
      <c r="Y67" s="160"/>
      <c r="Z67" s="160"/>
      <c r="AA67" s="160"/>
      <c r="AB67" s="160"/>
      <c r="AC67" s="160"/>
      <c r="AD67" s="160"/>
      <c r="AE67" s="160"/>
      <c r="AF67" s="160"/>
      <c r="AG67" s="160"/>
      <c r="AH67" s="160"/>
      <c r="AI67" s="160"/>
      <c r="AJ67" s="160"/>
      <c r="AK67" s="161"/>
    </row>
    <row r="68" spans="1:37" ht="13.5" customHeight="1" x14ac:dyDescent="0.15">
      <c r="A68" s="17"/>
      <c r="B68" s="88"/>
      <c r="C68" s="88"/>
      <c r="D68" s="88"/>
      <c r="E68" s="88"/>
      <c r="F68" s="88"/>
      <c r="G68" s="88"/>
      <c r="H68" s="88"/>
      <c r="I68" s="88"/>
      <c r="J68" s="88"/>
      <c r="K68" s="88"/>
      <c r="L68" s="88"/>
      <c r="M68" s="88"/>
      <c r="N68" s="88"/>
      <c r="O68" s="88"/>
      <c r="P68" s="88"/>
      <c r="Q68" s="88"/>
      <c r="R68" s="88"/>
      <c r="S68" s="88"/>
      <c r="T68" s="88"/>
      <c r="U68" s="88"/>
      <c r="V68" s="88"/>
      <c r="W68" s="88"/>
      <c r="X68" s="88"/>
      <c r="Y68" s="88"/>
      <c r="Z68" s="88"/>
      <c r="AA68" s="88"/>
      <c r="AB68" s="88"/>
      <c r="AC68" s="88"/>
      <c r="AD68" s="88"/>
      <c r="AE68" s="88"/>
      <c r="AF68" s="88"/>
      <c r="AG68" s="88"/>
      <c r="AH68" s="88"/>
      <c r="AI68" s="88"/>
      <c r="AJ68" s="88"/>
      <c r="AK68" s="13"/>
    </row>
    <row r="69" spans="1:37" ht="13.5" customHeight="1" x14ac:dyDescent="0.15">
      <c r="A69" s="17"/>
      <c r="B69" s="88"/>
      <c r="C69" s="88"/>
      <c r="D69" s="88"/>
      <c r="E69" s="88"/>
      <c r="F69" s="88"/>
      <c r="G69" s="88"/>
      <c r="H69" s="88"/>
      <c r="I69" s="88"/>
      <c r="J69" s="88"/>
      <c r="K69" s="88"/>
      <c r="L69" s="88"/>
      <c r="M69" s="88"/>
      <c r="N69" s="88"/>
      <c r="O69" s="88"/>
      <c r="P69" s="88"/>
      <c r="Q69" s="88"/>
      <c r="R69" s="88"/>
      <c r="S69" s="88"/>
      <c r="T69" s="88"/>
      <c r="U69" s="88"/>
      <c r="V69" s="88"/>
      <c r="W69" s="88"/>
      <c r="X69" s="88"/>
      <c r="Y69" s="88"/>
      <c r="Z69" s="88"/>
      <c r="AA69" s="88"/>
      <c r="AB69" s="88"/>
      <c r="AC69" s="88"/>
      <c r="AD69" s="88"/>
      <c r="AE69" s="88"/>
      <c r="AF69" s="88"/>
      <c r="AG69" s="88"/>
      <c r="AH69" s="88"/>
      <c r="AI69" s="88"/>
      <c r="AJ69" s="88"/>
      <c r="AK69" s="13"/>
    </row>
    <row r="70" spans="1:37" ht="13.5" customHeight="1" x14ac:dyDescent="0.15">
      <c r="A70" s="17"/>
      <c r="B70" s="88"/>
      <c r="C70" s="88"/>
      <c r="D70" s="88"/>
      <c r="E70" s="88"/>
      <c r="F70" s="88"/>
      <c r="G70" s="88"/>
      <c r="H70" s="88"/>
      <c r="I70" s="88"/>
      <c r="J70" s="88"/>
      <c r="K70" s="88"/>
      <c r="L70" s="88"/>
      <c r="M70" s="88"/>
      <c r="N70" s="88"/>
      <c r="O70" s="88"/>
      <c r="P70" s="88"/>
      <c r="Q70" s="88"/>
      <c r="R70" s="88"/>
      <c r="S70" s="88"/>
      <c r="T70" s="88"/>
      <c r="U70" s="88"/>
      <c r="V70" s="88"/>
      <c r="W70" s="88"/>
      <c r="X70" s="88"/>
      <c r="Y70" s="88"/>
      <c r="Z70" s="88"/>
      <c r="AA70" s="88"/>
      <c r="AB70" s="88"/>
      <c r="AC70" s="88"/>
      <c r="AD70" s="88"/>
      <c r="AE70" s="88"/>
      <c r="AF70" s="88"/>
      <c r="AG70" s="88"/>
      <c r="AH70" s="88"/>
      <c r="AI70" s="88"/>
      <c r="AJ70" s="88"/>
      <c r="AK70" s="13"/>
    </row>
    <row r="71" spans="1:37" ht="13.5" customHeight="1" x14ac:dyDescent="0.15">
      <c r="A71" s="17"/>
      <c r="B71" s="88"/>
      <c r="C71" s="88"/>
      <c r="D71" s="88"/>
      <c r="E71" s="88"/>
      <c r="F71" s="88"/>
      <c r="G71" s="88"/>
      <c r="H71" s="88"/>
      <c r="I71" s="88"/>
      <c r="J71" s="88"/>
      <c r="K71" s="88"/>
      <c r="L71" s="88"/>
      <c r="M71" s="88"/>
      <c r="N71" s="88"/>
      <c r="O71" s="88"/>
      <c r="P71" s="88"/>
      <c r="Q71" s="88"/>
      <c r="R71" s="88"/>
      <c r="S71" s="88"/>
      <c r="T71" s="88"/>
      <c r="U71" s="88"/>
      <c r="V71" s="88"/>
      <c r="W71" s="88"/>
      <c r="X71" s="88"/>
      <c r="Y71" s="88"/>
      <c r="Z71" s="88"/>
      <c r="AA71" s="88"/>
      <c r="AB71" s="88"/>
      <c r="AC71" s="88"/>
      <c r="AD71" s="88"/>
      <c r="AE71" s="88"/>
      <c r="AF71" s="88"/>
      <c r="AG71" s="88"/>
      <c r="AH71" s="88"/>
      <c r="AI71" s="88"/>
      <c r="AJ71" s="88"/>
      <c r="AK71" s="13"/>
    </row>
    <row r="72" spans="1:37" ht="13.5" customHeight="1" x14ac:dyDescent="0.15">
      <c r="A72" s="17"/>
      <c r="B72" s="88"/>
      <c r="C72" s="88"/>
      <c r="D72" s="88"/>
      <c r="E72" s="88"/>
      <c r="F72" s="88"/>
      <c r="G72" s="88"/>
      <c r="H72" s="88"/>
      <c r="I72" s="88"/>
      <c r="J72" s="88"/>
      <c r="K72" s="88"/>
      <c r="L72" s="88"/>
      <c r="M72" s="88"/>
      <c r="N72" s="88"/>
      <c r="O72" s="88"/>
      <c r="P72" s="88"/>
      <c r="Q72" s="88"/>
      <c r="R72" s="88"/>
      <c r="S72" s="88"/>
      <c r="T72" s="88"/>
      <c r="U72" s="88"/>
      <c r="V72" s="88"/>
      <c r="W72" s="88"/>
      <c r="X72" s="88"/>
      <c r="Y72" s="88"/>
      <c r="Z72" s="88"/>
      <c r="AA72" s="88"/>
      <c r="AB72" s="88"/>
      <c r="AC72" s="88"/>
      <c r="AD72" s="88"/>
      <c r="AE72" s="88"/>
      <c r="AF72" s="88"/>
      <c r="AG72" s="88"/>
      <c r="AH72" s="88"/>
      <c r="AI72" s="88"/>
      <c r="AJ72" s="88"/>
      <c r="AK72" s="13"/>
    </row>
    <row r="73" spans="1:37" ht="13.5" customHeight="1" x14ac:dyDescent="0.15">
      <c r="A73" s="17"/>
      <c r="B73" s="88"/>
      <c r="C73" s="88"/>
      <c r="D73" s="88"/>
      <c r="E73" s="88"/>
      <c r="F73" s="88"/>
      <c r="G73" s="88"/>
      <c r="H73" s="88"/>
      <c r="I73" s="88"/>
      <c r="J73" s="88"/>
      <c r="K73" s="88"/>
      <c r="L73" s="88"/>
      <c r="M73" s="88"/>
      <c r="N73" s="88"/>
      <c r="O73" s="88"/>
      <c r="P73" s="88"/>
      <c r="Q73" s="88"/>
      <c r="R73" s="88"/>
      <c r="S73" s="88"/>
      <c r="T73" s="88"/>
      <c r="U73" s="88"/>
      <c r="V73" s="88"/>
      <c r="W73" s="88"/>
      <c r="X73" s="88"/>
      <c r="Y73" s="88"/>
      <c r="Z73" s="88"/>
      <c r="AA73" s="88"/>
      <c r="AB73" s="88"/>
      <c r="AC73" s="88"/>
      <c r="AD73" s="88"/>
      <c r="AE73" s="88"/>
      <c r="AF73" s="88"/>
      <c r="AG73" s="88"/>
      <c r="AH73" s="88"/>
      <c r="AI73" s="88"/>
      <c r="AJ73" s="88"/>
      <c r="AK73" s="13"/>
    </row>
    <row r="74" spans="1:37" ht="13.5" customHeight="1" x14ac:dyDescent="0.15">
      <c r="A74" s="17"/>
      <c r="B74" s="88"/>
      <c r="C74" s="88"/>
      <c r="D74" s="88"/>
      <c r="E74" s="88"/>
      <c r="F74" s="88"/>
      <c r="G74" s="88"/>
      <c r="H74" s="88"/>
      <c r="I74" s="88"/>
      <c r="J74" s="88"/>
      <c r="K74" s="88"/>
      <c r="L74" s="88"/>
      <c r="M74" s="88"/>
      <c r="N74" s="88"/>
      <c r="O74" s="88"/>
      <c r="P74" s="88"/>
      <c r="Q74" s="88"/>
      <c r="R74" s="88"/>
      <c r="S74" s="88"/>
      <c r="T74" s="88"/>
      <c r="U74" s="88"/>
      <c r="V74" s="88"/>
      <c r="W74" s="88"/>
      <c r="X74" s="88"/>
      <c r="Y74" s="88"/>
      <c r="Z74" s="88"/>
      <c r="AA74" s="88"/>
      <c r="AB74" s="88"/>
      <c r="AC74" s="88"/>
      <c r="AD74" s="88"/>
      <c r="AE74" s="88"/>
      <c r="AF74" s="88"/>
      <c r="AG74" s="88"/>
      <c r="AH74" s="88"/>
      <c r="AI74" s="88"/>
      <c r="AJ74" s="88"/>
      <c r="AK74" s="13"/>
    </row>
    <row r="75" spans="1:37" ht="13.5" customHeight="1" x14ac:dyDescent="0.15">
      <c r="A75" s="17"/>
      <c r="B75" s="88"/>
      <c r="C75" s="88"/>
      <c r="D75" s="88"/>
      <c r="E75" s="88"/>
      <c r="F75" s="88"/>
      <c r="G75" s="88"/>
      <c r="H75" s="88"/>
      <c r="I75" s="88"/>
      <c r="J75" s="88"/>
      <c r="K75" s="88"/>
      <c r="L75" s="88"/>
      <c r="M75" s="88"/>
      <c r="N75" s="88"/>
      <c r="O75" s="88"/>
      <c r="P75" s="88"/>
      <c r="Q75" s="88"/>
      <c r="R75" s="88"/>
      <c r="S75" s="88"/>
      <c r="T75" s="88"/>
      <c r="U75" s="88"/>
      <c r="V75" s="88"/>
      <c r="W75" s="88"/>
      <c r="X75" s="88"/>
      <c r="Y75" s="88"/>
      <c r="Z75" s="88"/>
      <c r="AA75" s="88"/>
      <c r="AB75" s="88"/>
      <c r="AC75" s="88"/>
      <c r="AD75" s="88"/>
      <c r="AE75" s="88"/>
      <c r="AF75" s="88"/>
      <c r="AG75" s="88"/>
      <c r="AH75" s="88"/>
      <c r="AI75" s="88"/>
      <c r="AJ75" s="88"/>
      <c r="AK75" s="13"/>
    </row>
    <row r="76" spans="1:37" ht="13.5" customHeight="1" x14ac:dyDescent="0.15">
      <c r="A76" s="9"/>
      <c r="B76" s="88"/>
      <c r="C76" s="88"/>
      <c r="D76" s="88"/>
      <c r="E76" s="88"/>
      <c r="F76" s="88"/>
      <c r="G76" s="88"/>
      <c r="H76" s="88"/>
      <c r="I76" s="88"/>
      <c r="J76" s="88"/>
      <c r="K76" s="88"/>
      <c r="L76" s="88"/>
      <c r="M76" s="88"/>
      <c r="N76" s="88"/>
      <c r="O76" s="88"/>
      <c r="P76" s="88"/>
      <c r="Q76" s="88"/>
      <c r="R76" s="88"/>
      <c r="S76" s="88"/>
      <c r="T76" s="88"/>
      <c r="U76" s="88"/>
      <c r="V76" s="88"/>
      <c r="W76" s="88"/>
      <c r="X76" s="88"/>
      <c r="Y76" s="88"/>
      <c r="Z76" s="88"/>
      <c r="AA76" s="88"/>
      <c r="AB76" s="88"/>
      <c r="AC76" s="88"/>
      <c r="AD76" s="88"/>
      <c r="AE76" s="88"/>
      <c r="AF76" s="88"/>
      <c r="AG76" s="88"/>
      <c r="AH76" s="88"/>
      <c r="AI76" s="88"/>
      <c r="AJ76" s="88"/>
      <c r="AK76" s="13"/>
    </row>
    <row r="77" spans="1:37" ht="13.5" customHeight="1" x14ac:dyDescent="0.15">
      <c r="A77" s="9"/>
      <c r="B77" s="88"/>
      <c r="C77" s="88"/>
      <c r="D77" s="88"/>
      <c r="E77" s="88"/>
      <c r="F77" s="88"/>
      <c r="G77" s="88"/>
      <c r="H77" s="88"/>
      <c r="I77" s="88"/>
      <c r="J77" s="88"/>
      <c r="K77" s="88"/>
      <c r="L77" s="88"/>
      <c r="M77" s="88"/>
      <c r="N77" s="88"/>
      <c r="O77" s="88"/>
      <c r="P77" s="88"/>
      <c r="Q77" s="88"/>
      <c r="R77" s="88"/>
      <c r="S77" s="88"/>
      <c r="T77" s="88"/>
      <c r="U77" s="88"/>
      <c r="V77" s="88"/>
      <c r="W77" s="88"/>
      <c r="X77" s="88"/>
      <c r="Y77" s="88"/>
      <c r="Z77" s="88"/>
      <c r="AA77" s="88"/>
      <c r="AB77" s="88"/>
      <c r="AC77" s="88"/>
      <c r="AD77" s="88"/>
      <c r="AE77" s="88"/>
      <c r="AF77" s="88"/>
      <c r="AG77" s="88"/>
      <c r="AH77" s="88"/>
      <c r="AI77" s="88"/>
      <c r="AJ77" s="88"/>
      <c r="AK77" s="13"/>
    </row>
    <row r="78" spans="1:37" ht="13.5" customHeight="1" x14ac:dyDescent="0.15">
      <c r="A78" s="9"/>
      <c r="B78" s="88"/>
      <c r="C78" s="88"/>
      <c r="D78" s="88"/>
      <c r="E78" s="88"/>
      <c r="F78" s="88"/>
      <c r="G78" s="88"/>
      <c r="H78" s="88"/>
      <c r="I78" s="88"/>
      <c r="J78" s="88"/>
      <c r="K78" s="88"/>
      <c r="L78" s="88"/>
      <c r="M78" s="88"/>
      <c r="N78" s="88"/>
      <c r="O78" s="88"/>
      <c r="P78" s="88"/>
      <c r="Q78" s="88"/>
      <c r="R78" s="88"/>
      <c r="S78" s="88"/>
      <c r="T78" s="88"/>
      <c r="U78" s="88"/>
      <c r="V78" s="88"/>
      <c r="W78" s="88"/>
      <c r="X78" s="88"/>
      <c r="Y78" s="88"/>
      <c r="Z78" s="88"/>
      <c r="AA78" s="88"/>
      <c r="AB78" s="88"/>
      <c r="AC78" s="88"/>
      <c r="AD78" s="88"/>
      <c r="AE78" s="88"/>
      <c r="AF78" s="88"/>
      <c r="AG78" s="88"/>
      <c r="AH78" s="88"/>
      <c r="AI78" s="88"/>
      <c r="AJ78" s="88"/>
      <c r="AK78" s="13"/>
    </row>
    <row r="79" spans="1:37" ht="13.5" customHeight="1" x14ac:dyDescent="0.15">
      <c r="A79" s="9"/>
      <c r="B79" s="88"/>
      <c r="C79" s="88"/>
      <c r="D79" s="88"/>
      <c r="E79" s="88"/>
      <c r="F79" s="88"/>
      <c r="G79" s="88"/>
      <c r="H79" s="88"/>
      <c r="I79" s="88"/>
      <c r="J79" s="88"/>
      <c r="K79" s="88"/>
      <c r="L79" s="88"/>
      <c r="M79" s="88"/>
      <c r="N79" s="88"/>
      <c r="O79" s="88"/>
      <c r="P79" s="88"/>
      <c r="Q79" s="88"/>
      <c r="R79" s="88"/>
      <c r="S79" s="88"/>
      <c r="T79" s="88"/>
      <c r="U79" s="88"/>
      <c r="V79" s="88"/>
      <c r="W79" s="88"/>
      <c r="X79" s="88"/>
      <c r="Y79" s="88"/>
      <c r="Z79" s="88"/>
      <c r="AA79" s="88"/>
      <c r="AB79" s="88"/>
      <c r="AC79" s="88"/>
      <c r="AD79" s="88"/>
      <c r="AE79" s="88"/>
      <c r="AF79" s="88"/>
      <c r="AG79" s="88"/>
      <c r="AH79" s="88"/>
      <c r="AI79" s="88"/>
      <c r="AJ79" s="88"/>
      <c r="AK79" s="13"/>
    </row>
    <row r="80" spans="1:37" ht="13.5" customHeight="1" x14ac:dyDescent="0.15">
      <c r="A80" s="9"/>
      <c r="B80" s="88"/>
      <c r="C80" s="88"/>
      <c r="D80" s="88"/>
      <c r="E80" s="88"/>
      <c r="F80" s="88"/>
      <c r="G80" s="88"/>
      <c r="H80" s="88"/>
      <c r="I80" s="88"/>
      <c r="J80" s="88"/>
      <c r="K80" s="88"/>
      <c r="L80" s="88"/>
      <c r="M80" s="88"/>
      <c r="N80" s="88"/>
      <c r="O80" s="88"/>
      <c r="P80" s="88"/>
      <c r="Q80" s="88"/>
      <c r="R80" s="88"/>
      <c r="S80" s="88"/>
      <c r="T80" s="88"/>
      <c r="U80" s="88"/>
      <c r="V80" s="88"/>
      <c r="W80" s="88"/>
      <c r="X80" s="88"/>
      <c r="Y80" s="88"/>
      <c r="Z80" s="88"/>
      <c r="AA80" s="88"/>
      <c r="AB80" s="88"/>
      <c r="AC80" s="88"/>
      <c r="AD80" s="88"/>
      <c r="AE80" s="88"/>
      <c r="AF80" s="88"/>
      <c r="AG80" s="88"/>
      <c r="AH80" s="88"/>
      <c r="AI80" s="88"/>
      <c r="AJ80" s="88"/>
      <c r="AK80" s="13"/>
    </row>
    <row r="81" spans="1:37" ht="13.5" customHeight="1" x14ac:dyDescent="0.15">
      <c r="A81" s="9"/>
      <c r="B81" s="88"/>
      <c r="C81" s="88"/>
      <c r="D81" s="88"/>
      <c r="E81" s="88"/>
      <c r="F81" s="88"/>
      <c r="G81" s="88"/>
      <c r="H81" s="88"/>
      <c r="I81" s="88"/>
      <c r="J81" s="88"/>
      <c r="K81" s="88"/>
      <c r="L81" s="88"/>
      <c r="M81" s="88"/>
      <c r="N81" s="88"/>
      <c r="O81" s="88"/>
      <c r="P81" s="88"/>
      <c r="Q81" s="88"/>
      <c r="R81" s="88"/>
      <c r="S81" s="88"/>
      <c r="T81" s="88"/>
      <c r="U81" s="88"/>
      <c r="V81" s="88"/>
      <c r="W81" s="88"/>
      <c r="X81" s="88"/>
      <c r="Y81" s="88"/>
      <c r="Z81" s="88"/>
      <c r="AA81" s="88"/>
      <c r="AB81" s="88"/>
      <c r="AC81" s="88"/>
      <c r="AD81" s="88"/>
      <c r="AE81" s="88"/>
      <c r="AF81" s="88"/>
      <c r="AG81" s="88"/>
      <c r="AH81" s="88"/>
      <c r="AI81" s="88"/>
      <c r="AJ81" s="88"/>
      <c r="AK81" s="13"/>
    </row>
    <row r="82" spans="1:37" ht="13.5" customHeight="1" x14ac:dyDescent="0.15">
      <c r="A82" s="9"/>
      <c r="B82" s="88"/>
      <c r="C82" s="88"/>
      <c r="D82" s="88"/>
      <c r="E82" s="88"/>
      <c r="F82" s="88"/>
      <c r="G82" s="88"/>
      <c r="H82" s="88"/>
      <c r="I82" s="88"/>
      <c r="J82" s="88"/>
      <c r="K82" s="88"/>
      <c r="L82" s="88"/>
      <c r="M82" s="88"/>
      <c r="N82" s="88"/>
      <c r="O82" s="88"/>
      <c r="P82" s="88"/>
      <c r="Q82" s="88"/>
      <c r="R82" s="88"/>
      <c r="S82" s="88"/>
      <c r="T82" s="88"/>
      <c r="U82" s="88"/>
      <c r="V82" s="88"/>
      <c r="W82" s="88"/>
      <c r="X82" s="88"/>
      <c r="Y82" s="88"/>
      <c r="Z82" s="88"/>
      <c r="AA82" s="88"/>
      <c r="AB82" s="88"/>
      <c r="AC82" s="88"/>
      <c r="AD82" s="88"/>
      <c r="AE82" s="88"/>
      <c r="AF82" s="88"/>
      <c r="AG82" s="88"/>
      <c r="AH82" s="88"/>
      <c r="AI82" s="88"/>
      <c r="AJ82" s="88"/>
      <c r="AK82" s="13"/>
    </row>
    <row r="83" spans="1:37" ht="13.5" customHeight="1" x14ac:dyDescent="0.15">
      <c r="A83" s="9"/>
      <c r="B83" s="88"/>
      <c r="C83" s="88"/>
      <c r="D83" s="88"/>
      <c r="E83" s="88"/>
      <c r="F83" s="88"/>
      <c r="G83" s="88"/>
      <c r="H83" s="88"/>
      <c r="I83" s="88"/>
      <c r="J83" s="88"/>
      <c r="K83" s="88"/>
      <c r="L83" s="88"/>
      <c r="M83" s="88"/>
      <c r="N83" s="88"/>
      <c r="O83" s="88"/>
      <c r="P83" s="88"/>
      <c r="Q83" s="88"/>
      <c r="R83" s="88"/>
      <c r="S83" s="88"/>
      <c r="T83" s="88"/>
      <c r="U83" s="88"/>
      <c r="V83" s="88"/>
      <c r="W83" s="88"/>
      <c r="X83" s="88"/>
      <c r="Y83" s="88"/>
      <c r="Z83" s="88"/>
      <c r="AA83" s="88"/>
      <c r="AB83" s="88"/>
      <c r="AC83" s="88"/>
      <c r="AD83" s="88"/>
      <c r="AE83" s="88"/>
      <c r="AF83" s="88"/>
      <c r="AG83" s="88"/>
      <c r="AH83" s="88"/>
      <c r="AI83" s="88"/>
      <c r="AJ83" s="88"/>
      <c r="AK83" s="13"/>
    </row>
    <row r="84" spans="1:37" ht="13.5" customHeight="1" x14ac:dyDescent="0.15">
      <c r="A84" s="9"/>
      <c r="B84" s="88"/>
      <c r="C84" s="88"/>
      <c r="D84" s="88"/>
      <c r="E84" s="88"/>
      <c r="F84" s="88"/>
      <c r="G84" s="88"/>
      <c r="H84" s="88"/>
      <c r="I84" s="88"/>
      <c r="J84" s="88"/>
      <c r="K84" s="88"/>
      <c r="L84" s="88"/>
      <c r="M84" s="88"/>
      <c r="N84" s="88"/>
      <c r="O84" s="88"/>
      <c r="P84" s="88"/>
      <c r="Q84" s="88"/>
      <c r="R84" s="88"/>
      <c r="S84" s="88"/>
      <c r="T84" s="88"/>
      <c r="U84" s="88"/>
      <c r="V84" s="88"/>
      <c r="W84" s="88"/>
      <c r="X84" s="88"/>
      <c r="Y84" s="88"/>
      <c r="Z84" s="88"/>
      <c r="AA84" s="88"/>
      <c r="AB84" s="88"/>
      <c r="AC84" s="88"/>
      <c r="AD84" s="88"/>
      <c r="AE84" s="88"/>
      <c r="AF84" s="88"/>
      <c r="AG84" s="88"/>
      <c r="AH84" s="88"/>
      <c r="AI84" s="88"/>
      <c r="AJ84" s="88"/>
      <c r="AK84" s="13"/>
    </row>
    <row r="85" spans="1:37" ht="13.5" customHeight="1" x14ac:dyDescent="0.15">
      <c r="A85" s="9"/>
      <c r="B85" s="88"/>
      <c r="C85" s="88"/>
      <c r="D85" s="88"/>
      <c r="E85" s="88"/>
      <c r="F85" s="88"/>
      <c r="G85" s="88"/>
      <c r="H85" s="88"/>
      <c r="I85" s="88"/>
      <c r="J85" s="88"/>
      <c r="K85" s="88"/>
      <c r="L85" s="88"/>
      <c r="M85" s="88"/>
      <c r="N85" s="88"/>
      <c r="O85" s="88"/>
      <c r="P85" s="88"/>
      <c r="Q85" s="88"/>
      <c r="R85" s="88"/>
      <c r="S85" s="88"/>
      <c r="T85" s="88"/>
      <c r="U85" s="88"/>
      <c r="V85" s="88"/>
      <c r="W85" s="88"/>
      <c r="X85" s="88"/>
      <c r="Y85" s="88"/>
      <c r="Z85" s="88"/>
      <c r="AA85" s="88"/>
      <c r="AB85" s="88"/>
      <c r="AC85" s="88"/>
      <c r="AD85" s="88"/>
      <c r="AE85" s="88"/>
      <c r="AF85" s="88"/>
      <c r="AG85" s="88"/>
      <c r="AH85" s="88"/>
      <c r="AI85" s="88"/>
      <c r="AJ85" s="88"/>
      <c r="AK85" s="13"/>
    </row>
    <row r="86" spans="1:37" ht="13.5" customHeight="1" x14ac:dyDescent="0.15">
      <c r="A86" s="9"/>
      <c r="B86" s="88"/>
      <c r="C86" s="88"/>
      <c r="D86" s="88"/>
      <c r="E86" s="88"/>
      <c r="F86" s="88"/>
      <c r="G86" s="88"/>
      <c r="H86" s="88"/>
      <c r="I86" s="88"/>
      <c r="J86" s="88"/>
      <c r="K86" s="88"/>
      <c r="L86" s="88"/>
      <c r="M86" s="88"/>
      <c r="N86" s="88"/>
      <c r="O86" s="88"/>
      <c r="P86" s="88"/>
      <c r="Q86" s="88"/>
      <c r="R86" s="88"/>
      <c r="S86" s="88"/>
      <c r="T86" s="88"/>
      <c r="U86" s="88"/>
      <c r="V86" s="88"/>
      <c r="W86" s="88"/>
      <c r="X86" s="88"/>
      <c r="Y86" s="88"/>
      <c r="Z86" s="88"/>
      <c r="AA86" s="88"/>
      <c r="AB86" s="88"/>
      <c r="AC86" s="88"/>
      <c r="AD86" s="88"/>
      <c r="AE86" s="88"/>
      <c r="AF86" s="88"/>
      <c r="AG86" s="88"/>
      <c r="AH86" s="88"/>
      <c r="AI86" s="88"/>
      <c r="AJ86" s="88"/>
      <c r="AK86" s="13"/>
    </row>
    <row r="87" spans="1:37" ht="13.5" customHeight="1" x14ac:dyDescent="0.15">
      <c r="A87" s="9"/>
      <c r="B87" s="88"/>
      <c r="C87" s="88"/>
      <c r="D87" s="88"/>
      <c r="E87" s="88"/>
      <c r="F87" s="88"/>
      <c r="G87" s="88"/>
      <c r="H87" s="88"/>
      <c r="I87" s="88"/>
      <c r="J87" s="88"/>
      <c r="K87" s="88"/>
      <c r="L87" s="88"/>
      <c r="M87" s="88"/>
      <c r="N87" s="88"/>
      <c r="O87" s="88"/>
      <c r="P87" s="88"/>
      <c r="Q87" s="88"/>
      <c r="R87" s="88"/>
      <c r="S87" s="88"/>
      <c r="T87" s="88"/>
      <c r="U87" s="88"/>
      <c r="V87" s="88"/>
      <c r="W87" s="88"/>
      <c r="X87" s="88"/>
      <c r="Y87" s="88"/>
      <c r="Z87" s="88"/>
      <c r="AA87" s="88"/>
      <c r="AB87" s="88"/>
      <c r="AC87" s="88"/>
      <c r="AD87" s="88"/>
      <c r="AE87" s="88"/>
      <c r="AF87" s="88"/>
      <c r="AG87" s="88"/>
      <c r="AH87" s="88"/>
      <c r="AI87" s="88"/>
      <c r="AJ87" s="88"/>
      <c r="AK87" s="13"/>
    </row>
    <row r="88" spans="1:37" ht="13.5" customHeight="1" x14ac:dyDescent="0.15">
      <c r="A88" s="9"/>
      <c r="B88" s="88"/>
      <c r="C88" s="88"/>
      <c r="D88" s="88"/>
      <c r="E88" s="88"/>
      <c r="F88" s="88"/>
      <c r="G88" s="88"/>
      <c r="H88" s="88"/>
      <c r="I88" s="88"/>
      <c r="J88" s="88"/>
      <c r="K88" s="88"/>
      <c r="L88" s="88"/>
      <c r="M88" s="88"/>
      <c r="N88" s="88"/>
      <c r="O88" s="88"/>
      <c r="P88" s="88"/>
      <c r="Q88" s="88"/>
      <c r="R88" s="88"/>
      <c r="S88" s="88"/>
      <c r="T88" s="88"/>
      <c r="U88" s="88"/>
      <c r="V88" s="88"/>
      <c r="W88" s="88"/>
      <c r="X88" s="88"/>
      <c r="Y88" s="88"/>
      <c r="Z88" s="88"/>
      <c r="AA88" s="88"/>
      <c r="AB88" s="88"/>
      <c r="AC88" s="88"/>
      <c r="AD88" s="88"/>
      <c r="AE88" s="88"/>
      <c r="AF88" s="88"/>
      <c r="AG88" s="88"/>
      <c r="AH88" s="88"/>
      <c r="AI88" s="88"/>
      <c r="AJ88" s="88"/>
      <c r="AK88" s="13"/>
    </row>
    <row r="89" spans="1:37" ht="13.5" customHeight="1" x14ac:dyDescent="0.15">
      <c r="A89" s="9"/>
      <c r="B89" s="88"/>
      <c r="C89" s="88"/>
      <c r="D89" s="88"/>
      <c r="E89" s="88"/>
      <c r="F89" s="88"/>
      <c r="G89" s="88"/>
      <c r="H89" s="88"/>
      <c r="I89" s="88"/>
      <c r="J89" s="88"/>
      <c r="K89" s="88"/>
      <c r="L89" s="88"/>
      <c r="M89" s="88"/>
      <c r="N89" s="88"/>
      <c r="O89" s="88"/>
      <c r="P89" s="88"/>
      <c r="Q89" s="88"/>
      <c r="R89" s="88"/>
      <c r="S89" s="88"/>
      <c r="T89" s="88"/>
      <c r="U89" s="88"/>
      <c r="V89" s="88"/>
      <c r="W89" s="88"/>
      <c r="X89" s="88"/>
      <c r="Y89" s="88"/>
      <c r="Z89" s="88"/>
      <c r="AA89" s="88"/>
      <c r="AB89" s="88"/>
      <c r="AC89" s="88"/>
      <c r="AD89" s="88"/>
      <c r="AE89" s="88"/>
      <c r="AF89" s="88"/>
      <c r="AG89" s="88"/>
      <c r="AH89" s="88"/>
      <c r="AI89" s="88"/>
      <c r="AJ89" s="88"/>
      <c r="AK89" s="13"/>
    </row>
    <row r="90" spans="1:37" ht="13.5" customHeight="1" x14ac:dyDescent="0.15">
      <c r="A90" s="9"/>
      <c r="B90" s="88"/>
      <c r="C90" s="88"/>
      <c r="D90" s="88"/>
      <c r="E90" s="88"/>
      <c r="F90" s="88"/>
      <c r="G90" s="88"/>
      <c r="H90" s="88"/>
      <c r="I90" s="88"/>
      <c r="J90" s="88"/>
      <c r="K90" s="88"/>
      <c r="L90" s="88"/>
      <c r="M90" s="88"/>
      <c r="N90" s="88"/>
      <c r="O90" s="88"/>
      <c r="P90" s="88"/>
      <c r="Q90" s="88"/>
      <c r="R90" s="88"/>
      <c r="S90" s="88"/>
      <c r="T90" s="88"/>
      <c r="U90" s="88"/>
      <c r="V90" s="88"/>
      <c r="W90" s="88"/>
      <c r="X90" s="88"/>
      <c r="Y90" s="88"/>
      <c r="Z90" s="88"/>
      <c r="AA90" s="88"/>
      <c r="AB90" s="88"/>
      <c r="AC90" s="88"/>
      <c r="AD90" s="88"/>
      <c r="AE90" s="88"/>
      <c r="AF90" s="88"/>
      <c r="AG90" s="88"/>
      <c r="AH90" s="88"/>
      <c r="AI90" s="88"/>
      <c r="AJ90" s="88"/>
      <c r="AK90" s="13"/>
    </row>
    <row r="91" spans="1:37" ht="13.5" customHeight="1" x14ac:dyDescent="0.15">
      <c r="A91" s="9"/>
      <c r="B91" s="88"/>
      <c r="C91" s="88"/>
      <c r="D91" s="88"/>
      <c r="E91" s="88"/>
      <c r="F91" s="88"/>
      <c r="G91" s="88"/>
      <c r="H91" s="88"/>
      <c r="I91" s="88"/>
      <c r="J91" s="88"/>
      <c r="K91" s="88"/>
      <c r="L91" s="88"/>
      <c r="M91" s="88"/>
      <c r="N91" s="88"/>
      <c r="O91" s="88"/>
      <c r="P91" s="88"/>
      <c r="Q91" s="88"/>
      <c r="R91" s="88"/>
      <c r="S91" s="88"/>
      <c r="T91" s="88"/>
      <c r="U91" s="88"/>
      <c r="V91" s="88"/>
      <c r="W91" s="88"/>
      <c r="X91" s="88"/>
      <c r="Y91" s="88"/>
      <c r="Z91" s="88"/>
      <c r="AA91" s="88"/>
      <c r="AB91" s="88"/>
      <c r="AC91" s="88"/>
      <c r="AD91" s="88"/>
      <c r="AE91" s="88"/>
      <c r="AF91" s="88"/>
      <c r="AG91" s="88"/>
      <c r="AH91" s="88"/>
      <c r="AI91" s="88"/>
      <c r="AJ91" s="88"/>
      <c r="AK91" s="13"/>
    </row>
    <row r="92" spans="1:37" ht="13.5" customHeight="1" x14ac:dyDescent="0.15">
      <c r="A92" s="9"/>
      <c r="B92" s="88"/>
      <c r="C92" s="88"/>
      <c r="D92" s="88"/>
      <c r="E92" s="88"/>
      <c r="F92" s="88"/>
      <c r="G92" s="88"/>
      <c r="H92" s="88"/>
      <c r="I92" s="88"/>
      <c r="J92" s="88"/>
      <c r="K92" s="88"/>
      <c r="L92" s="88"/>
      <c r="M92" s="88"/>
      <c r="N92" s="88"/>
      <c r="O92" s="88"/>
      <c r="P92" s="88"/>
      <c r="Q92" s="88"/>
      <c r="R92" s="88"/>
      <c r="S92" s="88"/>
      <c r="T92" s="88"/>
      <c r="U92" s="88"/>
      <c r="V92" s="88"/>
      <c r="W92" s="88"/>
      <c r="X92" s="88"/>
      <c r="Y92" s="88"/>
      <c r="Z92" s="88"/>
      <c r="AA92" s="88"/>
      <c r="AB92" s="88"/>
      <c r="AC92" s="88"/>
      <c r="AD92" s="88"/>
      <c r="AE92" s="88"/>
      <c r="AF92" s="88"/>
      <c r="AG92" s="88"/>
      <c r="AH92" s="88"/>
      <c r="AI92" s="88"/>
      <c r="AJ92" s="88"/>
      <c r="AK92" s="13"/>
    </row>
    <row r="93" spans="1:37" ht="13.5" customHeight="1" x14ac:dyDescent="0.15">
      <c r="A93" s="9"/>
      <c r="B93" s="88"/>
      <c r="C93" s="88"/>
      <c r="D93" s="88"/>
      <c r="E93" s="88"/>
      <c r="F93" s="88"/>
      <c r="G93" s="88"/>
      <c r="H93" s="88"/>
      <c r="I93" s="88"/>
      <c r="J93" s="88"/>
      <c r="K93" s="88"/>
      <c r="L93" s="88"/>
      <c r="M93" s="88"/>
      <c r="N93" s="88"/>
      <c r="O93" s="88"/>
      <c r="P93" s="88"/>
      <c r="Q93" s="88"/>
      <c r="R93" s="88"/>
      <c r="S93" s="88"/>
      <c r="T93" s="88"/>
      <c r="U93" s="88"/>
      <c r="V93" s="88"/>
      <c r="W93" s="88"/>
      <c r="X93" s="88"/>
      <c r="Y93" s="88"/>
      <c r="Z93" s="88"/>
      <c r="AA93" s="88"/>
      <c r="AB93" s="88"/>
      <c r="AC93" s="88"/>
      <c r="AD93" s="88"/>
      <c r="AE93" s="88"/>
      <c r="AF93" s="88"/>
      <c r="AG93" s="88"/>
      <c r="AH93" s="88"/>
      <c r="AI93" s="88"/>
      <c r="AJ93" s="88"/>
      <c r="AK93" s="13"/>
    </row>
    <row r="94" spans="1:37" ht="13.5" customHeight="1" x14ac:dyDescent="0.15">
      <c r="A94" s="9"/>
      <c r="B94" s="88"/>
      <c r="C94" s="88"/>
      <c r="D94" s="88"/>
      <c r="E94" s="88"/>
      <c r="F94" s="88"/>
      <c r="G94" s="88"/>
      <c r="H94" s="88"/>
      <c r="I94" s="88"/>
      <c r="J94" s="88"/>
      <c r="K94" s="88"/>
      <c r="L94" s="88"/>
      <c r="M94" s="88"/>
      <c r="N94" s="88"/>
      <c r="O94" s="88"/>
      <c r="P94" s="88"/>
      <c r="Q94" s="88"/>
      <c r="R94" s="88"/>
      <c r="S94" s="88"/>
      <c r="T94" s="88"/>
      <c r="U94" s="88"/>
      <c r="V94" s="88"/>
      <c r="W94" s="88"/>
      <c r="X94" s="88"/>
      <c r="Y94" s="88"/>
      <c r="Z94" s="88"/>
      <c r="AA94" s="88"/>
      <c r="AB94" s="88"/>
      <c r="AC94" s="88"/>
      <c r="AD94" s="88"/>
      <c r="AE94" s="88"/>
      <c r="AF94" s="88"/>
      <c r="AG94" s="88"/>
      <c r="AH94" s="88"/>
      <c r="AI94" s="88"/>
      <c r="AJ94" s="88"/>
      <c r="AK94" s="13"/>
    </row>
    <row r="95" spans="1:37" ht="13.5" customHeight="1" x14ac:dyDescent="0.15">
      <c r="A95" s="9"/>
      <c r="B95" s="88"/>
      <c r="C95" s="88"/>
      <c r="D95" s="88"/>
      <c r="E95" s="88"/>
      <c r="F95" s="88"/>
      <c r="G95" s="88"/>
      <c r="H95" s="88"/>
      <c r="I95" s="88"/>
      <c r="J95" s="88"/>
      <c r="K95" s="88"/>
      <c r="L95" s="88"/>
      <c r="M95" s="88"/>
      <c r="N95" s="88"/>
      <c r="O95" s="88"/>
      <c r="P95" s="88"/>
      <c r="Q95" s="88"/>
      <c r="R95" s="88"/>
      <c r="S95" s="88"/>
      <c r="T95" s="88"/>
      <c r="U95" s="88"/>
      <c r="V95" s="88"/>
      <c r="W95" s="88"/>
      <c r="X95" s="88"/>
      <c r="Y95" s="88"/>
      <c r="Z95" s="88"/>
      <c r="AA95" s="88"/>
      <c r="AB95" s="88"/>
      <c r="AC95" s="88"/>
      <c r="AD95" s="88"/>
      <c r="AE95" s="88"/>
      <c r="AF95" s="88"/>
      <c r="AG95" s="88"/>
      <c r="AH95" s="88"/>
      <c r="AI95" s="88"/>
      <c r="AJ95" s="88"/>
      <c r="AK95" s="13"/>
    </row>
    <row r="96" spans="1:37" ht="13.5" customHeight="1" x14ac:dyDescent="0.15">
      <c r="A96" s="9"/>
      <c r="B96" s="88"/>
      <c r="C96" s="88"/>
      <c r="D96" s="88"/>
      <c r="E96" s="88"/>
      <c r="F96" s="88"/>
      <c r="G96" s="88"/>
      <c r="H96" s="88"/>
      <c r="I96" s="88"/>
      <c r="J96" s="88"/>
      <c r="K96" s="88"/>
      <c r="L96" s="88"/>
      <c r="M96" s="88"/>
      <c r="N96" s="88"/>
      <c r="O96" s="88"/>
      <c r="P96" s="88"/>
      <c r="Q96" s="88"/>
      <c r="R96" s="88"/>
      <c r="S96" s="88"/>
      <c r="T96" s="88"/>
      <c r="U96" s="88"/>
      <c r="V96" s="88"/>
      <c r="W96" s="88"/>
      <c r="X96" s="88"/>
      <c r="Y96" s="88"/>
      <c r="Z96" s="88"/>
      <c r="AA96" s="88"/>
      <c r="AB96" s="88"/>
      <c r="AC96" s="88"/>
      <c r="AD96" s="88"/>
      <c r="AE96" s="88"/>
      <c r="AF96" s="88"/>
      <c r="AG96" s="88"/>
      <c r="AH96" s="88"/>
      <c r="AI96" s="88"/>
      <c r="AJ96" s="88"/>
      <c r="AK96" s="13"/>
    </row>
    <row r="97" spans="1:37" ht="13.5" customHeight="1" x14ac:dyDescent="0.15">
      <c r="A97" s="9"/>
      <c r="B97" s="88"/>
      <c r="C97" s="88"/>
      <c r="D97" s="88"/>
      <c r="E97" s="88"/>
      <c r="F97" s="88"/>
      <c r="G97" s="88"/>
      <c r="H97" s="88"/>
      <c r="I97" s="88"/>
      <c r="J97" s="88"/>
      <c r="K97" s="88"/>
      <c r="L97" s="88"/>
      <c r="M97" s="88"/>
      <c r="N97" s="88"/>
      <c r="O97" s="88"/>
      <c r="P97" s="88"/>
      <c r="Q97" s="88"/>
      <c r="R97" s="88"/>
      <c r="S97" s="88"/>
      <c r="T97" s="88"/>
      <c r="U97" s="88"/>
      <c r="V97" s="88"/>
      <c r="W97" s="88"/>
      <c r="X97" s="88"/>
      <c r="Y97" s="88"/>
      <c r="Z97" s="88"/>
      <c r="AA97" s="88"/>
      <c r="AB97" s="88"/>
      <c r="AC97" s="88"/>
      <c r="AD97" s="88"/>
      <c r="AE97" s="88"/>
      <c r="AF97" s="88"/>
      <c r="AG97" s="88"/>
      <c r="AH97" s="88"/>
      <c r="AI97" s="88"/>
      <c r="AJ97" s="88"/>
      <c r="AK97" s="13"/>
    </row>
    <row r="98" spans="1:37" ht="13.5" customHeight="1" x14ac:dyDescent="0.15">
      <c r="A98" s="9"/>
      <c r="B98" s="88"/>
      <c r="C98" s="88"/>
      <c r="D98" s="88"/>
      <c r="E98" s="88"/>
      <c r="F98" s="88"/>
      <c r="G98" s="88"/>
      <c r="H98" s="88"/>
      <c r="I98" s="88"/>
      <c r="J98" s="88"/>
      <c r="K98" s="88"/>
      <c r="L98" s="88"/>
      <c r="M98" s="88"/>
      <c r="N98" s="88"/>
      <c r="O98" s="88"/>
      <c r="P98" s="88"/>
      <c r="Q98" s="88"/>
      <c r="R98" s="88"/>
      <c r="S98" s="88"/>
      <c r="T98" s="88"/>
      <c r="U98" s="88"/>
      <c r="V98" s="88"/>
      <c r="W98" s="88"/>
      <c r="X98" s="88"/>
      <c r="Y98" s="88"/>
      <c r="Z98" s="88"/>
      <c r="AA98" s="88"/>
      <c r="AB98" s="88"/>
      <c r="AC98" s="88"/>
      <c r="AD98" s="88"/>
      <c r="AE98" s="88"/>
      <c r="AF98" s="88"/>
      <c r="AG98" s="88"/>
      <c r="AH98" s="88"/>
      <c r="AI98" s="88"/>
      <c r="AJ98" s="88"/>
      <c r="AK98" s="13"/>
    </row>
    <row r="99" spans="1:37" ht="13.5" customHeight="1" x14ac:dyDescent="0.15">
      <c r="A99" s="9"/>
      <c r="B99" s="88"/>
      <c r="C99" s="88"/>
      <c r="D99" s="88"/>
      <c r="E99" s="88"/>
      <c r="F99" s="88"/>
      <c r="G99" s="88"/>
      <c r="H99" s="88"/>
      <c r="I99" s="88"/>
      <c r="J99" s="88"/>
      <c r="K99" s="88"/>
      <c r="L99" s="88"/>
      <c r="M99" s="88"/>
      <c r="N99" s="88"/>
      <c r="O99" s="88"/>
      <c r="P99" s="88"/>
      <c r="Q99" s="88"/>
      <c r="R99" s="88"/>
      <c r="S99" s="88"/>
      <c r="T99" s="88"/>
      <c r="U99" s="88"/>
      <c r="V99" s="88"/>
      <c r="W99" s="88"/>
      <c r="X99" s="88"/>
      <c r="Y99" s="88"/>
      <c r="Z99" s="88"/>
      <c r="AA99" s="88"/>
      <c r="AB99" s="88"/>
      <c r="AC99" s="88"/>
      <c r="AD99" s="88"/>
      <c r="AE99" s="88"/>
      <c r="AF99" s="88"/>
      <c r="AG99" s="88"/>
      <c r="AH99" s="88"/>
      <c r="AI99" s="88"/>
      <c r="AJ99" s="88"/>
      <c r="AK99" s="13"/>
    </row>
    <row r="100" spans="1:37" ht="13.5" customHeight="1" x14ac:dyDescent="0.15">
      <c r="A100" s="9"/>
      <c r="B100" s="88"/>
      <c r="C100" s="88"/>
      <c r="D100" s="88"/>
      <c r="E100" s="88"/>
      <c r="F100" s="88"/>
      <c r="G100" s="88"/>
      <c r="H100" s="88"/>
      <c r="I100" s="88"/>
      <c r="J100" s="88"/>
      <c r="K100" s="88"/>
      <c r="L100" s="88"/>
      <c r="M100" s="88"/>
      <c r="N100" s="88"/>
      <c r="O100" s="88"/>
      <c r="P100" s="88"/>
      <c r="Q100" s="88"/>
      <c r="R100" s="88"/>
      <c r="S100" s="88"/>
      <c r="T100" s="88"/>
      <c r="U100" s="88"/>
      <c r="V100" s="88"/>
      <c r="W100" s="88"/>
      <c r="X100" s="88"/>
      <c r="Y100" s="88"/>
      <c r="Z100" s="88"/>
      <c r="AA100" s="88"/>
      <c r="AB100" s="88"/>
      <c r="AC100" s="88"/>
      <c r="AD100" s="88"/>
      <c r="AE100" s="88"/>
      <c r="AF100" s="88"/>
      <c r="AG100" s="88"/>
      <c r="AH100" s="88"/>
      <c r="AI100" s="88"/>
      <c r="AJ100" s="88"/>
      <c r="AK100" s="13"/>
    </row>
    <row r="101" spans="1:37" ht="13.5" customHeight="1" x14ac:dyDescent="0.15">
      <c r="A101" s="9"/>
      <c r="B101" s="88"/>
      <c r="C101" s="88"/>
      <c r="D101" s="88"/>
      <c r="E101" s="88"/>
      <c r="F101" s="88"/>
      <c r="G101" s="88"/>
      <c r="H101" s="88"/>
      <c r="I101" s="88"/>
      <c r="J101" s="88"/>
      <c r="K101" s="88"/>
      <c r="L101" s="88"/>
      <c r="M101" s="88"/>
      <c r="N101" s="88"/>
      <c r="O101" s="88"/>
      <c r="P101" s="88"/>
      <c r="Q101" s="88"/>
      <c r="R101" s="88"/>
      <c r="S101" s="88"/>
      <c r="T101" s="88"/>
      <c r="U101" s="88"/>
      <c r="V101" s="88"/>
      <c r="W101" s="88"/>
      <c r="X101" s="88"/>
      <c r="Y101" s="88"/>
      <c r="Z101" s="88"/>
      <c r="AA101" s="88"/>
      <c r="AB101" s="88"/>
      <c r="AC101" s="88"/>
      <c r="AD101" s="88"/>
      <c r="AE101" s="88"/>
      <c r="AF101" s="88"/>
      <c r="AG101" s="88"/>
      <c r="AH101" s="88"/>
      <c r="AI101" s="88"/>
      <c r="AJ101" s="88"/>
      <c r="AK101" s="13"/>
    </row>
    <row r="102" spans="1:37" ht="13.5" customHeight="1" x14ac:dyDescent="0.15">
      <c r="A102" s="9"/>
      <c r="B102" s="88"/>
      <c r="C102" s="88"/>
      <c r="D102" s="88"/>
      <c r="E102" s="88"/>
      <c r="F102" s="88"/>
      <c r="G102" s="88"/>
      <c r="H102" s="88"/>
      <c r="I102" s="88"/>
      <c r="J102" s="88"/>
      <c r="K102" s="88"/>
      <c r="L102" s="88"/>
      <c r="M102" s="88"/>
      <c r="N102" s="88"/>
      <c r="O102" s="88"/>
      <c r="P102" s="88"/>
      <c r="Q102" s="88"/>
      <c r="R102" s="88"/>
      <c r="S102" s="88"/>
      <c r="T102" s="88"/>
      <c r="U102" s="88"/>
      <c r="V102" s="88"/>
      <c r="W102" s="88"/>
      <c r="X102" s="88"/>
      <c r="Y102" s="88"/>
      <c r="Z102" s="88"/>
      <c r="AA102" s="88"/>
      <c r="AB102" s="88"/>
      <c r="AC102" s="88"/>
      <c r="AD102" s="88"/>
      <c r="AE102" s="88"/>
      <c r="AF102" s="88"/>
      <c r="AG102" s="88"/>
      <c r="AH102" s="88"/>
      <c r="AI102" s="88"/>
      <c r="AJ102" s="88"/>
      <c r="AK102" s="13"/>
    </row>
    <row r="103" spans="1:37" ht="13.5" customHeight="1" x14ac:dyDescent="0.15">
      <c r="A103" s="9"/>
      <c r="B103" s="88"/>
      <c r="C103" s="88"/>
      <c r="D103" s="88"/>
      <c r="E103" s="88"/>
      <c r="F103" s="88"/>
      <c r="G103" s="88"/>
      <c r="H103" s="88"/>
      <c r="I103" s="88"/>
      <c r="J103" s="88"/>
      <c r="K103" s="88"/>
      <c r="L103" s="88"/>
      <c r="M103" s="88"/>
      <c r="N103" s="88"/>
      <c r="O103" s="88"/>
      <c r="P103" s="88"/>
      <c r="Q103" s="88"/>
      <c r="R103" s="88"/>
      <c r="S103" s="88"/>
      <c r="T103" s="88"/>
      <c r="U103" s="88"/>
      <c r="V103" s="88"/>
      <c r="W103" s="88"/>
      <c r="X103" s="88"/>
      <c r="Y103" s="88"/>
      <c r="Z103" s="88"/>
      <c r="AA103" s="88"/>
      <c r="AB103" s="88"/>
      <c r="AC103" s="88"/>
      <c r="AD103" s="88"/>
      <c r="AE103" s="88"/>
      <c r="AF103" s="88"/>
      <c r="AG103" s="88"/>
      <c r="AH103" s="88"/>
      <c r="AI103" s="88"/>
      <c r="AJ103" s="88"/>
      <c r="AK103" s="13"/>
    </row>
    <row r="104" spans="1:37" ht="13.5" customHeight="1" x14ac:dyDescent="0.15">
      <c r="A104" s="9"/>
      <c r="B104" s="88"/>
      <c r="C104" s="88"/>
      <c r="D104" s="88"/>
      <c r="E104" s="88"/>
      <c r="F104" s="88"/>
      <c r="G104" s="88"/>
      <c r="H104" s="88"/>
      <c r="I104" s="88"/>
      <c r="J104" s="88"/>
      <c r="K104" s="88"/>
      <c r="L104" s="88"/>
      <c r="M104" s="88"/>
      <c r="N104" s="88"/>
      <c r="O104" s="88"/>
      <c r="P104" s="88"/>
      <c r="Q104" s="88"/>
      <c r="R104" s="88"/>
      <c r="S104" s="88"/>
      <c r="T104" s="88"/>
      <c r="U104" s="88"/>
      <c r="V104" s="88"/>
      <c r="W104" s="88"/>
      <c r="X104" s="88"/>
      <c r="Y104" s="88"/>
      <c r="Z104" s="88"/>
      <c r="AA104" s="88"/>
      <c r="AB104" s="88"/>
      <c r="AC104" s="88"/>
      <c r="AD104" s="88"/>
      <c r="AE104" s="88"/>
      <c r="AF104" s="88"/>
      <c r="AG104" s="88"/>
      <c r="AH104" s="88"/>
      <c r="AI104" s="88"/>
      <c r="AJ104" s="88"/>
      <c r="AK104" s="13"/>
    </row>
    <row r="105" spans="1:37" ht="13.5" customHeight="1" x14ac:dyDescent="0.15">
      <c r="A105" s="9"/>
      <c r="B105" s="88"/>
      <c r="C105" s="88"/>
      <c r="D105" s="88"/>
      <c r="E105" s="88"/>
      <c r="F105" s="88"/>
      <c r="G105" s="88"/>
      <c r="H105" s="88"/>
      <c r="I105" s="88"/>
      <c r="J105" s="88"/>
      <c r="K105" s="88"/>
      <c r="L105" s="88"/>
      <c r="M105" s="88"/>
      <c r="N105" s="88"/>
      <c r="O105" s="88"/>
      <c r="P105" s="88"/>
      <c r="Q105" s="88"/>
      <c r="R105" s="88"/>
      <c r="S105" s="88"/>
      <c r="T105" s="88"/>
      <c r="U105" s="88"/>
      <c r="V105" s="88"/>
      <c r="W105" s="88"/>
      <c r="X105" s="88"/>
      <c r="Y105" s="88"/>
      <c r="Z105" s="88"/>
      <c r="AA105" s="88"/>
      <c r="AB105" s="88"/>
      <c r="AC105" s="88"/>
      <c r="AD105" s="88"/>
      <c r="AE105" s="88"/>
      <c r="AF105" s="88"/>
      <c r="AG105" s="88"/>
      <c r="AH105" s="88"/>
      <c r="AI105" s="88"/>
      <c r="AJ105" s="88"/>
      <c r="AK105" s="13"/>
    </row>
    <row r="106" spans="1:37" ht="13.5" customHeight="1" x14ac:dyDescent="0.15">
      <c r="A106" s="9"/>
      <c r="B106" s="88"/>
      <c r="C106" s="88"/>
      <c r="D106" s="88"/>
      <c r="E106" s="88"/>
      <c r="F106" s="88"/>
      <c r="G106" s="88"/>
      <c r="H106" s="88"/>
      <c r="I106" s="88"/>
      <c r="J106" s="88"/>
      <c r="K106" s="88"/>
      <c r="L106" s="88"/>
      <c r="M106" s="88"/>
      <c r="N106" s="88"/>
      <c r="O106" s="88"/>
      <c r="P106" s="88"/>
      <c r="Q106" s="88"/>
      <c r="R106" s="88"/>
      <c r="S106" s="88"/>
      <c r="T106" s="88"/>
      <c r="U106" s="88"/>
      <c r="V106" s="88"/>
      <c r="W106" s="88"/>
      <c r="X106" s="88"/>
      <c r="Y106" s="88"/>
      <c r="Z106" s="88"/>
      <c r="AA106" s="88"/>
      <c r="AB106" s="88"/>
      <c r="AC106" s="88"/>
      <c r="AD106" s="88"/>
      <c r="AE106" s="88"/>
      <c r="AF106" s="88"/>
      <c r="AG106" s="88"/>
      <c r="AH106" s="88"/>
      <c r="AI106" s="88"/>
      <c r="AJ106" s="88"/>
      <c r="AK106" s="13"/>
    </row>
    <row r="107" spans="1:37" ht="13.5" customHeight="1" x14ac:dyDescent="0.15">
      <c r="A107" s="9"/>
      <c r="B107" s="88"/>
      <c r="C107" s="88"/>
      <c r="D107" s="88"/>
      <c r="E107" s="88"/>
      <c r="F107" s="88"/>
      <c r="G107" s="88"/>
      <c r="H107" s="88"/>
      <c r="I107" s="88"/>
      <c r="J107" s="88"/>
      <c r="K107" s="88"/>
      <c r="L107" s="88"/>
      <c r="M107" s="88"/>
      <c r="N107" s="88"/>
      <c r="O107" s="88"/>
      <c r="P107" s="88"/>
      <c r="Q107" s="88"/>
      <c r="R107" s="88"/>
      <c r="S107" s="88"/>
      <c r="T107" s="88"/>
      <c r="U107" s="88"/>
      <c r="V107" s="88"/>
      <c r="W107" s="11"/>
      <c r="X107" s="88"/>
      <c r="Y107" s="88"/>
      <c r="Z107" s="88"/>
      <c r="AA107" s="88"/>
      <c r="AB107" s="88"/>
      <c r="AC107" s="88"/>
      <c r="AD107" s="88"/>
      <c r="AE107" s="88"/>
      <c r="AF107" s="88"/>
      <c r="AG107" s="88"/>
      <c r="AH107" s="88"/>
      <c r="AI107" s="88"/>
      <c r="AJ107" s="88"/>
      <c r="AK107" s="13"/>
    </row>
    <row r="108" spans="1:37" ht="13.5" customHeight="1" x14ac:dyDescent="0.15">
      <c r="A108" s="9"/>
      <c r="B108" s="88"/>
      <c r="C108" s="88"/>
      <c r="D108" s="88"/>
      <c r="E108" s="88"/>
      <c r="F108" s="88"/>
      <c r="G108" s="88"/>
      <c r="H108" s="88"/>
      <c r="I108" s="88"/>
      <c r="J108" s="88"/>
      <c r="K108" s="88"/>
      <c r="L108" s="88"/>
      <c r="M108" s="88"/>
      <c r="N108" s="88"/>
      <c r="O108" s="88"/>
      <c r="P108" s="88"/>
      <c r="Q108" s="88"/>
      <c r="R108" s="88"/>
      <c r="S108" s="88"/>
      <c r="T108" s="88"/>
      <c r="U108" s="88"/>
      <c r="V108" s="88"/>
      <c r="W108" s="11"/>
      <c r="X108" s="88"/>
      <c r="Y108" s="88"/>
      <c r="Z108" s="88"/>
      <c r="AA108" s="88"/>
      <c r="AB108" s="88"/>
      <c r="AC108" s="88"/>
      <c r="AD108" s="88"/>
      <c r="AE108" s="88"/>
      <c r="AF108" s="88"/>
      <c r="AG108" s="88"/>
      <c r="AH108" s="88"/>
      <c r="AI108" s="88"/>
      <c r="AJ108" s="88"/>
      <c r="AK108" s="13"/>
    </row>
    <row r="109" spans="1:37" ht="13.5" customHeight="1" x14ac:dyDescent="0.15">
      <c r="A109" s="9"/>
      <c r="B109" s="88"/>
      <c r="C109" s="88"/>
      <c r="D109" s="88"/>
      <c r="E109" s="88"/>
      <c r="F109" s="88"/>
      <c r="G109" s="88"/>
      <c r="H109" s="88"/>
      <c r="I109" s="88"/>
      <c r="J109" s="88"/>
      <c r="K109" s="88"/>
      <c r="L109" s="88"/>
      <c r="M109" s="88"/>
      <c r="N109" s="88"/>
      <c r="O109" s="88"/>
      <c r="P109" s="88"/>
      <c r="Q109" s="88"/>
      <c r="R109" s="88"/>
      <c r="S109" s="88"/>
      <c r="T109" s="88"/>
      <c r="U109" s="88"/>
      <c r="V109" s="88"/>
      <c r="W109" s="11"/>
      <c r="X109" s="88"/>
      <c r="Y109" s="88"/>
      <c r="Z109" s="88"/>
      <c r="AA109" s="88"/>
      <c r="AB109" s="88"/>
      <c r="AC109" s="88"/>
      <c r="AD109" s="88"/>
      <c r="AE109" s="88"/>
      <c r="AF109" s="88"/>
      <c r="AG109" s="88"/>
      <c r="AH109" s="11"/>
      <c r="AI109" s="11"/>
      <c r="AJ109" s="11"/>
      <c r="AK109" s="13"/>
    </row>
    <row r="110" spans="1:37" ht="13.5" customHeight="1" x14ac:dyDescent="0.15">
      <c r="A110" s="9"/>
      <c r="B110" s="88"/>
      <c r="C110" s="88"/>
      <c r="D110" s="88"/>
      <c r="E110" s="88"/>
      <c r="F110" s="88"/>
      <c r="G110" s="88"/>
      <c r="H110" s="88"/>
      <c r="I110" s="88"/>
      <c r="J110" s="88"/>
      <c r="K110" s="88"/>
      <c r="L110" s="88"/>
      <c r="M110" s="88"/>
      <c r="N110" s="88"/>
      <c r="O110" s="88"/>
      <c r="P110" s="88"/>
      <c r="Q110" s="88"/>
      <c r="R110" s="88"/>
      <c r="S110" s="88"/>
      <c r="T110" s="88"/>
      <c r="U110" s="88"/>
      <c r="V110" s="88"/>
      <c r="W110" s="11"/>
      <c r="X110" s="88"/>
      <c r="Y110" s="88"/>
      <c r="Z110" s="88"/>
      <c r="AA110" s="88"/>
      <c r="AB110" s="88"/>
      <c r="AC110" s="88"/>
      <c r="AD110" s="88"/>
      <c r="AE110" s="88"/>
      <c r="AF110" s="88"/>
      <c r="AG110" s="88"/>
      <c r="AH110" s="11"/>
      <c r="AI110" s="11"/>
      <c r="AJ110" s="11"/>
      <c r="AK110" s="13"/>
    </row>
    <row r="111" spans="1:37" ht="13.5" customHeight="1" x14ac:dyDescent="0.15">
      <c r="A111" s="9"/>
      <c r="B111" s="88"/>
      <c r="C111" s="88"/>
      <c r="D111" s="88"/>
      <c r="E111" s="88"/>
      <c r="F111" s="88"/>
      <c r="G111" s="88"/>
      <c r="H111" s="88"/>
      <c r="I111" s="88"/>
      <c r="J111" s="88"/>
      <c r="K111" s="88"/>
      <c r="L111" s="88"/>
      <c r="M111" s="88"/>
      <c r="N111" s="88"/>
      <c r="O111" s="88"/>
      <c r="P111" s="88"/>
      <c r="Q111" s="88"/>
      <c r="R111" s="88"/>
      <c r="S111" s="88"/>
      <c r="T111" s="88"/>
      <c r="U111" s="88"/>
      <c r="V111" s="88"/>
      <c r="W111" s="11"/>
      <c r="X111" s="88"/>
      <c r="Y111" s="88"/>
      <c r="Z111" s="88"/>
      <c r="AA111" s="88"/>
      <c r="AB111" s="88"/>
      <c r="AC111" s="88"/>
      <c r="AD111" s="88"/>
      <c r="AE111" s="88"/>
      <c r="AF111" s="88"/>
      <c r="AG111" s="88"/>
      <c r="AH111" s="11"/>
      <c r="AI111" s="11"/>
      <c r="AJ111" s="11"/>
      <c r="AK111" s="13"/>
    </row>
    <row r="112" spans="1:37" ht="13.5" customHeight="1" x14ac:dyDescent="0.15">
      <c r="A112" s="9"/>
      <c r="B112" s="88"/>
      <c r="C112" s="88"/>
      <c r="D112" s="88"/>
      <c r="E112" s="88"/>
      <c r="F112" s="88"/>
      <c r="G112" s="88"/>
      <c r="H112" s="88"/>
      <c r="I112" s="88"/>
      <c r="J112" s="88"/>
      <c r="K112" s="88"/>
      <c r="L112" s="88"/>
      <c r="M112" s="88"/>
      <c r="N112" s="88"/>
      <c r="O112" s="88"/>
      <c r="P112" s="88"/>
      <c r="Q112" s="88"/>
      <c r="R112" s="88"/>
      <c r="S112" s="88"/>
      <c r="T112" s="88"/>
      <c r="U112" s="88"/>
      <c r="V112" s="88"/>
      <c r="W112" s="11"/>
      <c r="X112" s="88"/>
      <c r="Y112" s="88"/>
      <c r="Z112" s="88"/>
      <c r="AA112" s="88"/>
      <c r="AB112" s="88"/>
      <c r="AC112" s="88"/>
      <c r="AD112" s="88"/>
      <c r="AE112" s="88"/>
      <c r="AF112" s="88"/>
      <c r="AG112" s="88"/>
      <c r="AH112" s="11"/>
      <c r="AI112" s="11"/>
      <c r="AJ112" s="11"/>
      <c r="AK112" s="13"/>
    </row>
    <row r="113" spans="1:37" ht="13.5" customHeight="1" x14ac:dyDescent="0.15">
      <c r="A113" s="9"/>
      <c r="B113" s="88"/>
      <c r="C113" s="88"/>
      <c r="D113" s="88"/>
      <c r="E113" s="88"/>
      <c r="F113" s="88"/>
      <c r="G113" s="88"/>
      <c r="H113" s="88"/>
      <c r="I113" s="88"/>
      <c r="J113" s="88"/>
      <c r="K113" s="88"/>
      <c r="L113" s="88"/>
      <c r="M113" s="88"/>
      <c r="N113" s="88"/>
      <c r="O113" s="88"/>
      <c r="P113" s="88"/>
      <c r="Q113" s="88"/>
      <c r="R113" s="88"/>
      <c r="S113" s="88"/>
      <c r="T113" s="88"/>
      <c r="U113" s="88"/>
      <c r="V113" s="88"/>
      <c r="W113" s="11"/>
      <c r="X113" s="88"/>
      <c r="Y113" s="88"/>
      <c r="Z113" s="88"/>
      <c r="AA113" s="88"/>
      <c r="AB113" s="88"/>
      <c r="AC113" s="88"/>
      <c r="AD113" s="88"/>
      <c r="AE113" s="88"/>
      <c r="AF113" s="88"/>
      <c r="AG113" s="88"/>
      <c r="AH113" s="11"/>
      <c r="AI113" s="11"/>
      <c r="AJ113" s="11"/>
      <c r="AK113" s="13"/>
    </row>
    <row r="114" spans="1:37" ht="13.5" customHeight="1" x14ac:dyDescent="0.15">
      <c r="A114" s="9"/>
      <c r="B114" s="88"/>
      <c r="C114" s="88"/>
      <c r="D114" s="88"/>
      <c r="E114" s="88"/>
      <c r="F114" s="88"/>
      <c r="G114" s="88"/>
      <c r="H114" s="88"/>
      <c r="I114" s="88"/>
      <c r="J114" s="88"/>
      <c r="K114" s="88"/>
      <c r="L114" s="88"/>
      <c r="M114" s="88"/>
      <c r="N114" s="88"/>
      <c r="O114" s="88"/>
      <c r="P114" s="88"/>
      <c r="Q114" s="88"/>
      <c r="R114" s="88"/>
      <c r="S114" s="88"/>
      <c r="T114" s="88"/>
      <c r="U114" s="88"/>
      <c r="V114" s="88"/>
      <c r="W114" s="11"/>
      <c r="X114" s="88"/>
      <c r="Y114" s="88"/>
      <c r="Z114" s="88"/>
      <c r="AA114" s="88"/>
      <c r="AB114" s="88"/>
      <c r="AC114" s="88"/>
      <c r="AD114" s="88"/>
      <c r="AE114" s="88"/>
      <c r="AF114" s="88"/>
      <c r="AG114" s="88"/>
      <c r="AH114" s="11"/>
      <c r="AI114" s="89"/>
      <c r="AJ114" s="121" t="s">
        <v>166</v>
      </c>
      <c r="AK114" s="91"/>
    </row>
    <row r="115" spans="1:37" ht="13.5" customHeight="1" x14ac:dyDescent="0.15">
      <c r="A115" s="9"/>
      <c r="B115" s="88"/>
      <c r="C115" s="88"/>
      <c r="D115" s="88"/>
      <c r="E115" s="88"/>
      <c r="F115" s="88"/>
      <c r="G115" s="88"/>
      <c r="H115" s="88"/>
      <c r="I115" s="88"/>
      <c r="J115" s="88"/>
      <c r="K115" s="88"/>
      <c r="L115" s="88"/>
      <c r="M115" s="88"/>
      <c r="N115" s="88"/>
      <c r="O115" s="88"/>
      <c r="P115" s="88"/>
      <c r="Q115" s="88"/>
      <c r="R115" s="88"/>
      <c r="S115" s="88"/>
      <c r="T115" s="88"/>
      <c r="U115" s="88"/>
      <c r="V115" s="88"/>
      <c r="W115" s="88"/>
      <c r="X115" s="88"/>
      <c r="Y115" s="88"/>
      <c r="Z115" s="88"/>
      <c r="AA115" s="88"/>
      <c r="AB115" s="88"/>
      <c r="AC115" s="88"/>
      <c r="AD115" s="88"/>
      <c r="AE115" s="88"/>
      <c r="AF115" s="88"/>
      <c r="AG115" s="88"/>
      <c r="AH115" s="11"/>
      <c r="AI115" s="122"/>
      <c r="AJ115" s="123"/>
      <c r="AK115" s="124" t="s">
        <v>204</v>
      </c>
    </row>
    <row r="116" spans="1:37" ht="13.5" customHeight="1" x14ac:dyDescent="0.15">
      <c r="A116" s="9"/>
      <c r="B116" s="88"/>
      <c r="C116" s="88"/>
      <c r="D116" s="88"/>
      <c r="E116" s="88"/>
      <c r="F116" s="88"/>
      <c r="G116" s="88"/>
      <c r="H116" s="88"/>
      <c r="I116" s="88"/>
      <c r="J116" s="88"/>
      <c r="K116" s="88"/>
      <c r="L116" s="88"/>
      <c r="M116" s="88"/>
      <c r="N116" s="88"/>
      <c r="O116" s="88"/>
      <c r="P116" s="88"/>
      <c r="Q116" s="88"/>
      <c r="R116" s="88"/>
      <c r="S116" s="88"/>
      <c r="T116" s="88"/>
      <c r="U116" s="88"/>
      <c r="V116" s="88"/>
      <c r="W116" s="88"/>
      <c r="X116" s="88"/>
      <c r="Y116" s="88"/>
      <c r="Z116" s="88"/>
      <c r="AA116" s="88"/>
      <c r="AB116" s="88"/>
      <c r="AC116" s="88"/>
      <c r="AD116" s="88"/>
      <c r="AE116" s="88"/>
      <c r="AF116" s="88"/>
      <c r="AG116" s="88"/>
      <c r="AH116" s="88"/>
      <c r="AI116" s="125"/>
      <c r="AJ116" s="88"/>
      <c r="AK116" s="126"/>
    </row>
    <row r="117" spans="1:37" ht="13.5" customHeight="1" x14ac:dyDescent="0.15">
      <c r="A117" s="9"/>
      <c r="B117" s="88"/>
      <c r="C117" s="88"/>
      <c r="D117" s="88"/>
      <c r="E117" s="88"/>
      <c r="F117" s="88"/>
      <c r="G117" s="88"/>
      <c r="H117" s="88"/>
      <c r="I117" s="88"/>
      <c r="J117" s="88"/>
      <c r="K117" s="88"/>
      <c r="L117" s="88"/>
      <c r="M117" s="88"/>
      <c r="N117" s="88"/>
      <c r="O117" s="88"/>
      <c r="P117" s="88"/>
      <c r="Q117" s="88"/>
      <c r="R117" s="88"/>
      <c r="S117" s="88"/>
      <c r="T117" s="88"/>
      <c r="U117" s="88"/>
      <c r="V117" s="88"/>
      <c r="W117" s="88"/>
      <c r="X117" s="88"/>
      <c r="Y117" s="88"/>
      <c r="Z117" s="88"/>
      <c r="AA117" s="88"/>
      <c r="AB117" s="88"/>
      <c r="AC117" s="88"/>
      <c r="AD117" s="88"/>
      <c r="AE117" s="88"/>
      <c r="AF117" s="88"/>
      <c r="AG117" s="88"/>
      <c r="AH117" s="88"/>
      <c r="AI117" s="125"/>
      <c r="AJ117" s="88"/>
      <c r="AK117" s="126" t="s">
        <v>94</v>
      </c>
    </row>
    <row r="118" spans="1:37" ht="13.5" customHeight="1" x14ac:dyDescent="0.15">
      <c r="A118" s="9"/>
      <c r="B118" s="88"/>
      <c r="C118" s="88"/>
      <c r="D118" s="88"/>
      <c r="E118" s="88"/>
      <c r="F118" s="88"/>
      <c r="G118" s="88"/>
      <c r="H118" s="88"/>
      <c r="I118" s="88"/>
      <c r="J118" s="88"/>
      <c r="K118" s="88"/>
      <c r="L118" s="88"/>
      <c r="M118" s="88"/>
      <c r="N118" s="88"/>
      <c r="O118" s="88"/>
      <c r="P118" s="88"/>
      <c r="Q118" s="88"/>
      <c r="R118" s="88"/>
      <c r="S118" s="88"/>
      <c r="T118" s="88"/>
      <c r="U118" s="88"/>
      <c r="V118" s="88"/>
      <c r="W118" s="88"/>
      <c r="X118" s="88"/>
      <c r="Y118" s="88"/>
      <c r="Z118" s="88"/>
      <c r="AA118" s="88"/>
      <c r="AB118" s="88"/>
      <c r="AC118" s="88"/>
      <c r="AD118" s="88"/>
      <c r="AE118" s="88"/>
      <c r="AF118" s="88"/>
      <c r="AG118" s="88"/>
      <c r="AH118" s="88"/>
      <c r="AI118" s="125"/>
      <c r="AJ118" s="88"/>
      <c r="AK118" s="126"/>
    </row>
    <row r="119" spans="1:37" ht="13.5" customHeight="1" x14ac:dyDescent="0.15">
      <c r="A119" s="9"/>
      <c r="B119" s="88"/>
      <c r="C119" s="88"/>
      <c r="D119" s="88"/>
      <c r="E119" s="88"/>
      <c r="F119" s="88"/>
      <c r="G119" s="88"/>
      <c r="H119" s="88"/>
      <c r="I119" s="88"/>
      <c r="J119" s="88"/>
      <c r="K119" s="88"/>
      <c r="L119" s="88"/>
      <c r="M119" s="88"/>
      <c r="N119" s="88"/>
      <c r="O119" s="88"/>
      <c r="P119" s="88"/>
      <c r="Q119" s="88"/>
      <c r="R119" s="88"/>
      <c r="S119" s="88"/>
      <c r="T119" s="88"/>
      <c r="U119" s="88"/>
      <c r="V119" s="88"/>
      <c r="W119" s="88"/>
      <c r="X119" s="88"/>
      <c r="Y119" s="88"/>
      <c r="Z119" s="88"/>
      <c r="AA119" s="88"/>
      <c r="AB119" s="88"/>
      <c r="AC119" s="88"/>
      <c r="AD119" s="88"/>
      <c r="AE119" s="88"/>
      <c r="AF119" s="88"/>
      <c r="AG119" s="88"/>
      <c r="AH119" s="88"/>
      <c r="AI119" s="125"/>
      <c r="AJ119" s="88"/>
      <c r="AK119" s="126" t="s">
        <v>165</v>
      </c>
    </row>
    <row r="120" spans="1:37" ht="13.5" customHeight="1" x14ac:dyDescent="0.15">
      <c r="A120" s="9"/>
      <c r="B120" s="88"/>
      <c r="C120" s="88"/>
      <c r="D120" s="88"/>
      <c r="E120" s="88"/>
      <c r="F120" s="88"/>
      <c r="G120" s="88"/>
      <c r="H120" s="88"/>
      <c r="I120" s="88"/>
      <c r="J120" s="88"/>
      <c r="K120" s="88"/>
      <c r="L120" s="88"/>
      <c r="M120" s="88"/>
      <c r="N120" s="88"/>
      <c r="O120" s="88"/>
      <c r="P120" s="88"/>
      <c r="Q120" s="88"/>
      <c r="R120" s="88"/>
      <c r="S120" s="88"/>
      <c r="T120" s="88"/>
      <c r="U120" s="88"/>
      <c r="V120" s="88"/>
      <c r="W120" s="88"/>
      <c r="X120" s="88"/>
      <c r="Y120" s="88"/>
      <c r="Z120" s="88"/>
      <c r="AA120" s="88"/>
      <c r="AB120" s="88"/>
      <c r="AC120" s="88"/>
      <c r="AD120" s="88"/>
      <c r="AE120" s="88"/>
      <c r="AF120" s="88"/>
      <c r="AG120" s="88"/>
      <c r="AH120" s="88"/>
      <c r="AI120" s="125"/>
      <c r="AJ120" s="88"/>
      <c r="AK120" s="126"/>
    </row>
    <row r="121" spans="1:37" ht="13.5" customHeight="1" x14ac:dyDescent="0.15">
      <c r="A121" s="9"/>
      <c r="B121" s="88"/>
      <c r="C121" s="88"/>
      <c r="D121" s="88"/>
      <c r="E121" s="88"/>
      <c r="F121" s="88"/>
      <c r="G121" s="88"/>
      <c r="H121" s="88"/>
      <c r="I121" s="88"/>
      <c r="J121" s="88"/>
      <c r="K121" s="88"/>
      <c r="L121" s="88"/>
      <c r="M121" s="88"/>
      <c r="N121" s="88"/>
      <c r="O121" s="88"/>
      <c r="P121" s="88"/>
      <c r="Q121" s="88"/>
      <c r="R121" s="88"/>
      <c r="S121" s="88"/>
      <c r="T121" s="88"/>
      <c r="U121" s="88"/>
      <c r="V121" s="88"/>
      <c r="W121" s="88"/>
      <c r="X121" s="88"/>
      <c r="Y121" s="88"/>
      <c r="Z121" s="88"/>
      <c r="AA121" s="88"/>
      <c r="AB121" s="88"/>
      <c r="AC121" s="88"/>
      <c r="AD121" s="88"/>
      <c r="AE121" s="88"/>
      <c r="AF121" s="88"/>
      <c r="AG121" s="88"/>
      <c r="AH121" s="88"/>
      <c r="AI121" s="125"/>
      <c r="AJ121" s="88"/>
      <c r="AK121" s="126" t="s">
        <v>203</v>
      </c>
    </row>
    <row r="122" spans="1:37" ht="13.5" customHeight="1" x14ac:dyDescent="0.15">
      <c r="A122" s="14"/>
      <c r="B122" s="15"/>
      <c r="C122" s="15"/>
      <c r="D122" s="15"/>
      <c r="E122" s="15"/>
      <c r="F122" s="15"/>
      <c r="G122" s="15"/>
      <c r="H122" s="15"/>
      <c r="I122" s="15"/>
      <c r="J122" s="15"/>
      <c r="K122" s="15"/>
      <c r="L122" s="15"/>
      <c r="M122" s="15"/>
      <c r="N122" s="15"/>
      <c r="O122" s="15"/>
      <c r="P122" s="15"/>
      <c r="Q122" s="15"/>
      <c r="R122" s="15"/>
      <c r="S122" s="15"/>
      <c r="T122" s="15"/>
      <c r="U122" s="15"/>
      <c r="V122" s="15"/>
      <c r="W122" s="15"/>
      <c r="X122" s="15"/>
      <c r="Y122" s="15"/>
      <c r="Z122" s="15"/>
      <c r="AA122" s="15"/>
      <c r="AB122" s="15"/>
      <c r="AC122" s="15"/>
      <c r="AD122" s="15"/>
      <c r="AE122" s="15"/>
      <c r="AF122" s="15"/>
      <c r="AG122" s="15"/>
      <c r="AH122" s="15"/>
      <c r="AI122" s="14"/>
      <c r="AJ122" s="15"/>
      <c r="AK122" s="16"/>
    </row>
    <row r="123" spans="1:37" ht="13.5" customHeight="1" x14ac:dyDescent="0.15">
      <c r="A123" s="260" t="s">
        <v>17</v>
      </c>
      <c r="B123" s="261"/>
      <c r="C123" s="261"/>
      <c r="D123" s="261"/>
      <c r="E123" s="261"/>
      <c r="F123" s="262"/>
      <c r="G123" s="243" t="s">
        <v>5</v>
      </c>
      <c r="H123" s="245"/>
      <c r="I123" s="244"/>
      <c r="J123" s="21">
        <f>J62</f>
        <v>0</v>
      </c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243" t="s">
        <v>8</v>
      </c>
      <c r="AC123" s="244"/>
      <c r="AD123" s="243" t="s">
        <v>7</v>
      </c>
      <c r="AE123" s="245"/>
      <c r="AF123" s="244"/>
      <c r="AG123" s="243" t="s">
        <v>9</v>
      </c>
      <c r="AH123" s="244"/>
      <c r="AI123" s="243" t="s">
        <v>10</v>
      </c>
      <c r="AJ123" s="245"/>
      <c r="AK123" s="244"/>
    </row>
    <row r="124" spans="1:37" ht="13.5" customHeight="1" x14ac:dyDescent="0.15">
      <c r="A124" s="263"/>
      <c r="B124" s="264"/>
      <c r="C124" s="264"/>
      <c r="D124" s="264"/>
      <c r="E124" s="264"/>
      <c r="F124" s="265"/>
      <c r="G124" s="243" t="s">
        <v>6</v>
      </c>
      <c r="H124" s="245"/>
      <c r="I124" s="244"/>
      <c r="J124" s="21">
        <f>J63</f>
        <v>0</v>
      </c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  <c r="AA124" s="5"/>
      <c r="AB124" s="246" t="str">
        <f>IF(AB63&lt;&gt;"", AB63,"")</f>
        <v/>
      </c>
      <c r="AC124" s="247"/>
      <c r="AD124" s="273" t="str">
        <f>IF(AD63&lt;&gt;"", AD63,"")</f>
        <v/>
      </c>
      <c r="AE124" s="274"/>
      <c r="AF124" s="275"/>
      <c r="AG124" s="246" t="str">
        <f>IF(AG63&lt;&gt;"", AG63,"")</f>
        <v/>
      </c>
      <c r="AH124" s="247"/>
      <c r="AI124" s="273" t="str">
        <f>IF(AI63&lt;&gt;"", AI63,"")</f>
        <v/>
      </c>
      <c r="AJ124" s="274"/>
      <c r="AK124" s="275"/>
    </row>
    <row r="125" spans="1:37" ht="13.5" customHeight="1" x14ac:dyDescent="0.15">
      <c r="A125" s="266"/>
      <c r="B125" s="267"/>
      <c r="C125" s="267"/>
      <c r="D125" s="267"/>
      <c r="E125" s="267"/>
      <c r="F125" s="268"/>
      <c r="G125" s="243"/>
      <c r="H125" s="245"/>
      <c r="I125" s="244"/>
      <c r="J125" s="21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  <c r="AA125" s="5"/>
      <c r="AB125" s="248"/>
      <c r="AC125" s="249"/>
      <c r="AD125" s="276"/>
      <c r="AE125" s="277"/>
      <c r="AF125" s="278"/>
      <c r="AG125" s="248"/>
      <c r="AH125" s="249"/>
      <c r="AI125" s="276"/>
      <c r="AJ125" s="277"/>
      <c r="AK125" s="278"/>
    </row>
    <row r="126" spans="1:37" ht="13.5" customHeight="1" x14ac:dyDescent="0.15">
      <c r="A126" s="86"/>
      <c r="B126" s="11"/>
      <c r="C126" s="11"/>
      <c r="D126" s="11"/>
      <c r="E126" s="11"/>
      <c r="F126" s="11"/>
      <c r="G126" s="11"/>
      <c r="H126" s="11"/>
      <c r="I126" s="11"/>
      <c r="J126" s="11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11"/>
      <c r="V126" s="11"/>
      <c r="W126" s="11"/>
      <c r="X126" s="11"/>
      <c r="Y126" s="11"/>
      <c r="Z126" s="11"/>
      <c r="AA126" s="11"/>
      <c r="AB126" s="18"/>
      <c r="AC126" s="11"/>
      <c r="AD126" s="11"/>
      <c r="AE126" s="11"/>
      <c r="AF126" s="11"/>
      <c r="AG126" s="11"/>
      <c r="AH126" s="11"/>
      <c r="AI126" s="11"/>
      <c r="AJ126" s="11"/>
      <c r="AK126" s="11"/>
    </row>
    <row r="127" spans="1:37" ht="13.5" customHeight="1" x14ac:dyDescent="0.15">
      <c r="A127" s="83" t="s">
        <v>17</v>
      </c>
      <c r="B127" s="84"/>
      <c r="C127" s="84"/>
      <c r="D127" s="84"/>
      <c r="E127" s="84"/>
      <c r="F127" s="84"/>
      <c r="G127" s="84"/>
      <c r="H127" s="84"/>
      <c r="I127" s="84"/>
      <c r="J127" s="84"/>
      <c r="K127" s="84"/>
      <c r="L127" s="84"/>
      <c r="M127" s="84"/>
      <c r="N127" s="84"/>
      <c r="O127" s="84"/>
      <c r="P127" s="84"/>
      <c r="Q127" s="84"/>
      <c r="R127" s="84"/>
      <c r="S127" s="84"/>
      <c r="T127" s="84"/>
      <c r="U127" s="84"/>
      <c r="V127" s="84"/>
      <c r="W127" s="84"/>
      <c r="X127" s="84"/>
      <c r="Y127" s="84"/>
      <c r="Z127" s="84"/>
      <c r="AA127" s="84"/>
      <c r="AB127" s="84"/>
      <c r="AC127" s="84"/>
      <c r="AD127" s="84"/>
      <c r="AE127" s="84"/>
      <c r="AF127" s="84"/>
      <c r="AG127" s="84"/>
      <c r="AH127" s="84"/>
      <c r="AI127" s="84"/>
      <c r="AJ127" s="84"/>
      <c r="AK127" s="85"/>
    </row>
    <row r="128" spans="1:37" ht="13.5" customHeight="1" x14ac:dyDescent="0.15">
      <c r="A128" s="159"/>
      <c r="B128" s="160"/>
      <c r="C128" s="160"/>
      <c r="D128" s="160"/>
      <c r="E128" s="160"/>
      <c r="F128" s="160"/>
      <c r="G128" s="160"/>
      <c r="H128" s="160"/>
      <c r="I128" s="160"/>
      <c r="J128" s="160"/>
      <c r="K128" s="160"/>
      <c r="L128" s="160"/>
      <c r="M128" s="160"/>
      <c r="N128" s="160"/>
      <c r="O128" s="160"/>
      <c r="P128" s="160"/>
      <c r="Q128" s="160"/>
      <c r="R128" s="160"/>
      <c r="S128" s="160"/>
      <c r="T128" s="160"/>
      <c r="U128" s="160"/>
      <c r="V128" s="160"/>
      <c r="W128" s="160"/>
      <c r="X128" s="160"/>
      <c r="Y128" s="160"/>
      <c r="Z128" s="160"/>
      <c r="AA128" s="160"/>
      <c r="AB128" s="160"/>
      <c r="AC128" s="160"/>
      <c r="AD128" s="160"/>
      <c r="AE128" s="160"/>
      <c r="AF128" s="160"/>
      <c r="AG128" s="160"/>
      <c r="AH128" s="160"/>
      <c r="AI128" s="160"/>
      <c r="AJ128" s="160"/>
      <c r="AK128" s="161"/>
    </row>
    <row r="129" spans="1:37" ht="13.5" customHeight="1" x14ac:dyDescent="0.15">
      <c r="A129" s="17"/>
      <c r="B129" s="88"/>
      <c r="C129" s="88"/>
      <c r="D129" s="88"/>
      <c r="E129" s="88"/>
      <c r="F129" s="88"/>
      <c r="G129" s="88"/>
      <c r="H129" s="88"/>
      <c r="I129" s="88"/>
      <c r="J129" s="88"/>
      <c r="K129" s="88"/>
      <c r="L129" s="88"/>
      <c r="M129" s="88"/>
      <c r="N129" s="88"/>
      <c r="O129" s="88"/>
      <c r="P129" s="88"/>
      <c r="Q129" s="88"/>
      <c r="R129" s="88"/>
      <c r="S129" s="88"/>
      <c r="T129" s="88"/>
      <c r="U129" s="88"/>
      <c r="V129" s="88"/>
      <c r="W129" s="88"/>
      <c r="X129" s="88"/>
      <c r="Y129" s="88"/>
      <c r="Z129" s="88"/>
      <c r="AA129" s="88"/>
      <c r="AB129" s="88"/>
      <c r="AC129" s="88"/>
      <c r="AD129" s="88"/>
      <c r="AE129" s="88"/>
      <c r="AF129" s="88"/>
      <c r="AG129" s="88"/>
      <c r="AH129" s="88"/>
      <c r="AI129" s="88"/>
      <c r="AJ129" s="88"/>
      <c r="AK129" s="13"/>
    </row>
    <row r="130" spans="1:37" ht="13.5" customHeight="1" x14ac:dyDescent="0.15">
      <c r="A130" s="17"/>
      <c r="B130" s="88"/>
      <c r="C130" s="88"/>
      <c r="D130" s="88"/>
      <c r="E130" s="88"/>
      <c r="F130" s="88"/>
      <c r="G130" s="88"/>
      <c r="H130" s="88"/>
      <c r="I130" s="88"/>
      <c r="J130" s="88"/>
      <c r="K130" s="88"/>
      <c r="L130" s="88"/>
      <c r="M130" s="88"/>
      <c r="N130" s="88"/>
      <c r="O130" s="88"/>
      <c r="P130" s="88"/>
      <c r="Q130" s="88"/>
      <c r="R130" s="88"/>
      <c r="S130" s="88"/>
      <c r="T130" s="88"/>
      <c r="U130" s="88"/>
      <c r="V130" s="88"/>
      <c r="W130" s="88"/>
      <c r="X130" s="88"/>
      <c r="Y130" s="88"/>
      <c r="Z130" s="88"/>
      <c r="AA130" s="88"/>
      <c r="AB130" s="88"/>
      <c r="AC130" s="88"/>
      <c r="AD130" s="88"/>
      <c r="AE130" s="88"/>
      <c r="AF130" s="88"/>
      <c r="AG130" s="88"/>
      <c r="AH130" s="88"/>
      <c r="AI130" s="88"/>
      <c r="AJ130" s="88"/>
      <c r="AK130" s="13"/>
    </row>
    <row r="131" spans="1:37" ht="13.5" customHeight="1" x14ac:dyDescent="0.15">
      <c r="A131" s="17"/>
      <c r="B131" s="88"/>
      <c r="C131" s="88"/>
      <c r="D131" s="88"/>
      <c r="E131" s="88"/>
      <c r="F131" s="88"/>
      <c r="G131" s="88"/>
      <c r="H131" s="88"/>
      <c r="I131" s="88"/>
      <c r="J131" s="88"/>
      <c r="K131" s="88"/>
      <c r="L131" s="88"/>
      <c r="M131" s="88"/>
      <c r="N131" s="88"/>
      <c r="O131" s="88"/>
      <c r="P131" s="88"/>
      <c r="Q131" s="88"/>
      <c r="R131" s="88"/>
      <c r="S131" s="88"/>
      <c r="T131" s="88"/>
      <c r="U131" s="88"/>
      <c r="V131" s="88"/>
      <c r="W131" s="88"/>
      <c r="X131" s="88"/>
      <c r="Y131" s="88"/>
      <c r="Z131" s="88"/>
      <c r="AA131" s="88"/>
      <c r="AB131" s="88"/>
      <c r="AC131" s="88"/>
      <c r="AD131" s="88"/>
      <c r="AE131" s="88"/>
      <c r="AF131" s="88"/>
      <c r="AG131" s="88"/>
      <c r="AH131" s="88"/>
      <c r="AI131" s="88"/>
      <c r="AJ131" s="88"/>
      <c r="AK131" s="13"/>
    </row>
    <row r="132" spans="1:37" ht="13.5" customHeight="1" x14ac:dyDescent="0.15">
      <c r="A132" s="17"/>
      <c r="B132" s="88"/>
      <c r="C132" s="88"/>
      <c r="D132" s="88"/>
      <c r="E132" s="88"/>
      <c r="F132" s="88"/>
      <c r="G132" s="88"/>
      <c r="H132" s="88"/>
      <c r="I132" s="88"/>
      <c r="J132" s="88"/>
      <c r="K132" s="88"/>
      <c r="L132" s="88"/>
      <c r="M132" s="88"/>
      <c r="N132" s="88"/>
      <c r="O132" s="88"/>
      <c r="P132" s="88"/>
      <c r="Q132" s="88"/>
      <c r="R132" s="88"/>
      <c r="S132" s="88"/>
      <c r="T132" s="88"/>
      <c r="U132" s="88"/>
      <c r="V132" s="88"/>
      <c r="W132" s="88"/>
      <c r="X132" s="88"/>
      <c r="Y132" s="88"/>
      <c r="Z132" s="88"/>
      <c r="AA132" s="88"/>
      <c r="AB132" s="88"/>
      <c r="AC132" s="88"/>
      <c r="AD132" s="88"/>
      <c r="AE132" s="88"/>
      <c r="AF132" s="88"/>
      <c r="AG132" s="88"/>
      <c r="AH132" s="88"/>
      <c r="AI132" s="88"/>
      <c r="AJ132" s="88"/>
      <c r="AK132" s="13"/>
    </row>
    <row r="133" spans="1:37" ht="13.5" customHeight="1" x14ac:dyDescent="0.15">
      <c r="A133" s="17"/>
      <c r="B133" s="88"/>
      <c r="C133" s="88"/>
      <c r="D133" s="88"/>
      <c r="E133" s="88"/>
      <c r="F133" s="88"/>
      <c r="G133" s="88"/>
      <c r="H133" s="88"/>
      <c r="I133" s="88"/>
      <c r="J133" s="88"/>
      <c r="K133" s="88"/>
      <c r="L133" s="88"/>
      <c r="M133" s="88"/>
      <c r="N133" s="88"/>
      <c r="O133" s="88"/>
      <c r="P133" s="88"/>
      <c r="Q133" s="88"/>
      <c r="R133" s="88"/>
      <c r="S133" s="88"/>
      <c r="T133" s="88"/>
      <c r="U133" s="88"/>
      <c r="V133" s="88"/>
      <c r="W133" s="88"/>
      <c r="X133" s="88"/>
      <c r="Y133" s="88"/>
      <c r="Z133" s="88"/>
      <c r="AA133" s="88"/>
      <c r="AB133" s="88"/>
      <c r="AC133" s="88"/>
      <c r="AD133" s="88"/>
      <c r="AE133" s="88"/>
      <c r="AF133" s="88"/>
      <c r="AG133" s="88"/>
      <c r="AH133" s="88"/>
      <c r="AI133" s="88"/>
      <c r="AJ133" s="88"/>
      <c r="AK133" s="13"/>
    </row>
    <row r="134" spans="1:37" ht="13.5" customHeight="1" x14ac:dyDescent="0.15">
      <c r="A134" s="17"/>
      <c r="B134" s="88"/>
      <c r="C134" s="88"/>
      <c r="D134" s="88"/>
      <c r="E134" s="88"/>
      <c r="F134" s="88"/>
      <c r="G134" s="88"/>
      <c r="H134" s="88"/>
      <c r="I134" s="88"/>
      <c r="J134" s="88"/>
      <c r="K134" s="88"/>
      <c r="L134" s="88"/>
      <c r="M134" s="88"/>
      <c r="N134" s="88"/>
      <c r="O134" s="88"/>
      <c r="P134" s="88"/>
      <c r="Q134" s="88"/>
      <c r="R134" s="88"/>
      <c r="S134" s="88"/>
      <c r="T134" s="88"/>
      <c r="U134" s="88"/>
      <c r="V134" s="88"/>
      <c r="W134" s="88"/>
      <c r="X134" s="88"/>
      <c r="Y134" s="88"/>
      <c r="Z134" s="88"/>
      <c r="AA134" s="88"/>
      <c r="AB134" s="88"/>
      <c r="AC134" s="88"/>
      <c r="AD134" s="88"/>
      <c r="AE134" s="88"/>
      <c r="AF134" s="88"/>
      <c r="AG134" s="88"/>
      <c r="AH134" s="88"/>
      <c r="AI134" s="88"/>
      <c r="AJ134" s="88"/>
      <c r="AK134" s="13"/>
    </row>
    <row r="135" spans="1:37" ht="13.5" customHeight="1" x14ac:dyDescent="0.15">
      <c r="A135" s="17"/>
      <c r="B135" s="88"/>
      <c r="C135" s="88"/>
      <c r="D135" s="88"/>
      <c r="E135" s="88"/>
      <c r="F135" s="88"/>
      <c r="G135" s="88"/>
      <c r="H135" s="88"/>
      <c r="I135" s="88"/>
      <c r="J135" s="88"/>
      <c r="K135" s="88"/>
      <c r="L135" s="88"/>
      <c r="M135" s="88"/>
      <c r="N135" s="88"/>
      <c r="O135" s="88"/>
      <c r="P135" s="88"/>
      <c r="Q135" s="88"/>
      <c r="R135" s="88"/>
      <c r="S135" s="88"/>
      <c r="T135" s="88"/>
      <c r="U135" s="88"/>
      <c r="V135" s="88"/>
      <c r="W135" s="88"/>
      <c r="X135" s="88"/>
      <c r="Y135" s="88"/>
      <c r="Z135" s="88"/>
      <c r="AA135" s="88"/>
      <c r="AB135" s="88"/>
      <c r="AC135" s="88"/>
      <c r="AD135" s="88"/>
      <c r="AE135" s="88"/>
      <c r="AF135" s="88"/>
      <c r="AG135" s="88"/>
      <c r="AH135" s="88"/>
      <c r="AI135" s="88"/>
      <c r="AJ135" s="88"/>
      <c r="AK135" s="13"/>
    </row>
    <row r="136" spans="1:37" ht="13.5" customHeight="1" x14ac:dyDescent="0.15">
      <c r="A136" s="17"/>
      <c r="B136" s="88"/>
      <c r="C136" s="88"/>
      <c r="D136" s="88"/>
      <c r="E136" s="88"/>
      <c r="F136" s="88"/>
      <c r="G136" s="88"/>
      <c r="H136" s="88"/>
      <c r="I136" s="88"/>
      <c r="J136" s="88"/>
      <c r="K136" s="88"/>
      <c r="L136" s="88"/>
      <c r="M136" s="88"/>
      <c r="N136" s="88"/>
      <c r="O136" s="88"/>
      <c r="P136" s="88"/>
      <c r="Q136" s="88"/>
      <c r="R136" s="88"/>
      <c r="S136" s="88"/>
      <c r="T136" s="88"/>
      <c r="U136" s="88"/>
      <c r="V136" s="88"/>
      <c r="W136" s="88"/>
      <c r="X136" s="88"/>
      <c r="Y136" s="88"/>
      <c r="Z136" s="88"/>
      <c r="AA136" s="88"/>
      <c r="AB136" s="88"/>
      <c r="AC136" s="88"/>
      <c r="AD136" s="88"/>
      <c r="AE136" s="88"/>
      <c r="AF136" s="88"/>
      <c r="AG136" s="88"/>
      <c r="AH136" s="88"/>
      <c r="AI136" s="88"/>
      <c r="AJ136" s="88"/>
      <c r="AK136" s="13"/>
    </row>
    <row r="137" spans="1:37" ht="13.5" customHeight="1" x14ac:dyDescent="0.15">
      <c r="A137" s="9"/>
      <c r="B137" s="88"/>
      <c r="C137" s="88"/>
      <c r="D137" s="88"/>
      <c r="E137" s="88"/>
      <c r="F137" s="88"/>
      <c r="G137" s="88"/>
      <c r="H137" s="88"/>
      <c r="I137" s="88"/>
      <c r="J137" s="88"/>
      <c r="K137" s="88"/>
      <c r="L137" s="88"/>
      <c r="M137" s="88"/>
      <c r="N137" s="88"/>
      <c r="O137" s="88"/>
      <c r="P137" s="88"/>
      <c r="Q137" s="88"/>
      <c r="R137" s="88"/>
      <c r="S137" s="88"/>
      <c r="T137" s="88"/>
      <c r="U137" s="88"/>
      <c r="V137" s="88"/>
      <c r="W137" s="88"/>
      <c r="X137" s="88"/>
      <c r="Y137" s="88"/>
      <c r="Z137" s="88"/>
      <c r="AA137" s="88"/>
      <c r="AB137" s="88"/>
      <c r="AC137" s="88"/>
      <c r="AD137" s="88"/>
      <c r="AE137" s="88"/>
      <c r="AF137" s="88"/>
      <c r="AG137" s="88"/>
      <c r="AH137" s="88"/>
      <c r="AI137" s="88"/>
      <c r="AJ137" s="88"/>
      <c r="AK137" s="13"/>
    </row>
    <row r="138" spans="1:37" ht="13.5" customHeight="1" x14ac:dyDescent="0.15">
      <c r="A138" s="9"/>
      <c r="B138" s="88"/>
      <c r="C138" s="88"/>
      <c r="D138" s="88"/>
      <c r="E138" s="88"/>
      <c r="F138" s="88"/>
      <c r="G138" s="88"/>
      <c r="H138" s="88"/>
      <c r="I138" s="88"/>
      <c r="J138" s="88"/>
      <c r="K138" s="88"/>
      <c r="L138" s="88"/>
      <c r="M138" s="88"/>
      <c r="N138" s="88"/>
      <c r="O138" s="88"/>
      <c r="P138" s="88"/>
      <c r="Q138" s="88"/>
      <c r="R138" s="88"/>
      <c r="S138" s="88"/>
      <c r="T138" s="88"/>
      <c r="U138" s="88"/>
      <c r="V138" s="88"/>
      <c r="W138" s="88"/>
      <c r="X138" s="88"/>
      <c r="Y138" s="88"/>
      <c r="Z138" s="88"/>
      <c r="AA138" s="88"/>
      <c r="AB138" s="88"/>
      <c r="AC138" s="88"/>
      <c r="AD138" s="88"/>
      <c r="AE138" s="88"/>
      <c r="AF138" s="88"/>
      <c r="AG138" s="88"/>
      <c r="AH138" s="88"/>
      <c r="AI138" s="88"/>
      <c r="AJ138" s="88"/>
      <c r="AK138" s="13"/>
    </row>
    <row r="139" spans="1:37" ht="13.5" customHeight="1" x14ac:dyDescent="0.15">
      <c r="A139" s="9"/>
      <c r="B139" s="88"/>
      <c r="C139" s="88"/>
      <c r="D139" s="88"/>
      <c r="E139" s="88"/>
      <c r="F139" s="88"/>
      <c r="G139" s="88"/>
      <c r="H139" s="88"/>
      <c r="I139" s="88"/>
      <c r="J139" s="88"/>
      <c r="K139" s="88"/>
      <c r="L139" s="88"/>
      <c r="M139" s="88"/>
      <c r="N139" s="88"/>
      <c r="O139" s="88"/>
      <c r="P139" s="88"/>
      <c r="Q139" s="88"/>
      <c r="R139" s="88"/>
      <c r="S139" s="88"/>
      <c r="T139" s="88"/>
      <c r="U139" s="88"/>
      <c r="V139" s="88"/>
      <c r="W139" s="88"/>
      <c r="X139" s="88"/>
      <c r="Y139" s="88"/>
      <c r="Z139" s="88"/>
      <c r="AA139" s="88"/>
      <c r="AB139" s="88"/>
      <c r="AC139" s="88"/>
      <c r="AD139" s="88"/>
      <c r="AE139" s="88"/>
      <c r="AF139" s="88"/>
      <c r="AG139" s="88"/>
      <c r="AH139" s="88"/>
      <c r="AI139" s="88"/>
      <c r="AJ139" s="88"/>
      <c r="AK139" s="13"/>
    </row>
    <row r="140" spans="1:37" ht="13.5" customHeight="1" x14ac:dyDescent="0.15">
      <c r="A140" s="9"/>
      <c r="B140" s="88"/>
      <c r="C140" s="88"/>
      <c r="D140" s="88"/>
      <c r="E140" s="88"/>
      <c r="F140" s="88"/>
      <c r="G140" s="88"/>
      <c r="H140" s="88"/>
      <c r="I140" s="88"/>
      <c r="J140" s="88"/>
      <c r="K140" s="88"/>
      <c r="L140" s="88"/>
      <c r="M140" s="88"/>
      <c r="N140" s="88"/>
      <c r="O140" s="88"/>
      <c r="P140" s="88"/>
      <c r="Q140" s="88"/>
      <c r="R140" s="88"/>
      <c r="S140" s="88"/>
      <c r="T140" s="88"/>
      <c r="U140" s="88"/>
      <c r="V140" s="88"/>
      <c r="W140" s="88"/>
      <c r="X140" s="88"/>
      <c r="Y140" s="88"/>
      <c r="Z140" s="88"/>
      <c r="AA140" s="88"/>
      <c r="AB140" s="88"/>
      <c r="AC140" s="88"/>
      <c r="AD140" s="88"/>
      <c r="AE140" s="88"/>
      <c r="AF140" s="88"/>
      <c r="AG140" s="88"/>
      <c r="AH140" s="88"/>
      <c r="AI140" s="88"/>
      <c r="AJ140" s="88"/>
      <c r="AK140" s="13"/>
    </row>
    <row r="141" spans="1:37" ht="13.5" customHeight="1" x14ac:dyDescent="0.15">
      <c r="A141" s="9"/>
      <c r="B141" s="88"/>
      <c r="C141" s="88"/>
      <c r="D141" s="88"/>
      <c r="E141" s="88"/>
      <c r="F141" s="88"/>
      <c r="G141" s="88"/>
      <c r="H141" s="88"/>
      <c r="I141" s="88"/>
      <c r="J141" s="88"/>
      <c r="K141" s="88"/>
      <c r="L141" s="88"/>
      <c r="M141" s="88"/>
      <c r="N141" s="88"/>
      <c r="O141" s="88"/>
      <c r="P141" s="88"/>
      <c r="Q141" s="88"/>
      <c r="R141" s="88"/>
      <c r="S141" s="88"/>
      <c r="T141" s="88"/>
      <c r="U141" s="88"/>
      <c r="V141" s="88"/>
      <c r="W141" s="88"/>
      <c r="X141" s="88"/>
      <c r="Y141" s="88"/>
      <c r="Z141" s="88"/>
      <c r="AA141" s="88"/>
      <c r="AB141" s="88"/>
      <c r="AC141" s="88"/>
      <c r="AD141" s="88"/>
      <c r="AE141" s="88"/>
      <c r="AF141" s="88"/>
      <c r="AG141" s="88"/>
      <c r="AH141" s="88"/>
      <c r="AI141" s="88"/>
      <c r="AJ141" s="88"/>
      <c r="AK141" s="13"/>
    </row>
    <row r="142" spans="1:37" ht="13.5" customHeight="1" x14ac:dyDescent="0.15">
      <c r="A142" s="9"/>
      <c r="B142" s="88"/>
      <c r="C142" s="88"/>
      <c r="D142" s="88"/>
      <c r="E142" s="88"/>
      <c r="F142" s="88"/>
      <c r="G142" s="88"/>
      <c r="H142" s="88"/>
      <c r="I142" s="88"/>
      <c r="J142" s="88"/>
      <c r="K142" s="88"/>
      <c r="L142" s="88"/>
      <c r="M142" s="88"/>
      <c r="N142" s="88"/>
      <c r="O142" s="88"/>
      <c r="P142" s="88"/>
      <c r="Q142" s="88"/>
      <c r="R142" s="88"/>
      <c r="S142" s="88"/>
      <c r="T142" s="88"/>
      <c r="U142" s="88"/>
      <c r="V142" s="88"/>
      <c r="W142" s="88"/>
      <c r="X142" s="88"/>
      <c r="Y142" s="88"/>
      <c r="Z142" s="88"/>
      <c r="AA142" s="88"/>
      <c r="AB142" s="88"/>
      <c r="AC142" s="88"/>
      <c r="AD142" s="88"/>
      <c r="AE142" s="88"/>
      <c r="AF142" s="88"/>
      <c r="AG142" s="88"/>
      <c r="AH142" s="88"/>
      <c r="AI142" s="88"/>
      <c r="AJ142" s="88"/>
      <c r="AK142" s="13"/>
    </row>
    <row r="143" spans="1:37" ht="13.5" customHeight="1" x14ac:dyDescent="0.15">
      <c r="A143" s="9"/>
      <c r="B143" s="88"/>
      <c r="C143" s="88"/>
      <c r="D143" s="88"/>
      <c r="E143" s="88"/>
      <c r="F143" s="88"/>
      <c r="G143" s="88"/>
      <c r="H143" s="88"/>
      <c r="I143" s="88"/>
      <c r="J143" s="88"/>
      <c r="K143" s="88"/>
      <c r="L143" s="88"/>
      <c r="M143" s="88"/>
      <c r="N143" s="88"/>
      <c r="O143" s="88"/>
      <c r="P143" s="88"/>
      <c r="Q143" s="88"/>
      <c r="R143" s="88"/>
      <c r="S143" s="88"/>
      <c r="T143" s="88"/>
      <c r="U143" s="88"/>
      <c r="V143" s="88"/>
      <c r="W143" s="88"/>
      <c r="X143" s="88"/>
      <c r="Y143" s="88"/>
      <c r="Z143" s="88"/>
      <c r="AA143" s="88"/>
      <c r="AB143" s="88"/>
      <c r="AC143" s="88"/>
      <c r="AD143" s="88"/>
      <c r="AE143" s="88"/>
      <c r="AF143" s="88"/>
      <c r="AG143" s="88"/>
      <c r="AH143" s="88"/>
      <c r="AI143" s="88"/>
      <c r="AJ143" s="88"/>
      <c r="AK143" s="13"/>
    </row>
    <row r="144" spans="1:37" ht="13.5" customHeight="1" x14ac:dyDescent="0.15">
      <c r="A144" s="9"/>
      <c r="B144" s="88"/>
      <c r="C144" s="88"/>
      <c r="D144" s="88"/>
      <c r="E144" s="88"/>
      <c r="F144" s="88"/>
      <c r="G144" s="88"/>
      <c r="H144" s="88"/>
      <c r="I144" s="88"/>
      <c r="J144" s="88"/>
      <c r="K144" s="88"/>
      <c r="L144" s="88"/>
      <c r="M144" s="88"/>
      <c r="N144" s="88"/>
      <c r="O144" s="88"/>
      <c r="P144" s="88"/>
      <c r="Q144" s="88"/>
      <c r="R144" s="88"/>
      <c r="S144" s="88"/>
      <c r="T144" s="88"/>
      <c r="U144" s="88"/>
      <c r="V144" s="88"/>
      <c r="W144" s="88"/>
      <c r="X144" s="88"/>
      <c r="Y144" s="88"/>
      <c r="Z144" s="88"/>
      <c r="AA144" s="88"/>
      <c r="AB144" s="88"/>
      <c r="AC144" s="88"/>
      <c r="AD144" s="88"/>
      <c r="AE144" s="88"/>
      <c r="AF144" s="88"/>
      <c r="AG144" s="88"/>
      <c r="AH144" s="88"/>
      <c r="AI144" s="88"/>
      <c r="AJ144" s="88"/>
      <c r="AK144" s="13"/>
    </row>
    <row r="145" spans="1:37" ht="13.5" customHeight="1" x14ac:dyDescent="0.15">
      <c r="A145" s="9"/>
      <c r="B145" s="88"/>
      <c r="C145" s="88"/>
      <c r="D145" s="88"/>
      <c r="E145" s="88"/>
      <c r="F145" s="88"/>
      <c r="G145" s="88"/>
      <c r="H145" s="88"/>
      <c r="I145" s="88"/>
      <c r="J145" s="88"/>
      <c r="K145" s="88"/>
      <c r="L145" s="88"/>
      <c r="M145" s="88"/>
      <c r="N145" s="88"/>
      <c r="O145" s="88"/>
      <c r="P145" s="88"/>
      <c r="Q145" s="88"/>
      <c r="R145" s="88"/>
      <c r="S145" s="88"/>
      <c r="T145" s="88"/>
      <c r="U145" s="88"/>
      <c r="V145" s="88"/>
      <c r="W145" s="88"/>
      <c r="X145" s="88"/>
      <c r="Y145" s="88"/>
      <c r="Z145" s="88"/>
      <c r="AA145" s="88"/>
      <c r="AB145" s="88"/>
      <c r="AC145" s="88"/>
      <c r="AD145" s="88"/>
      <c r="AE145" s="88"/>
      <c r="AF145" s="88"/>
      <c r="AG145" s="88"/>
      <c r="AH145" s="88"/>
      <c r="AI145" s="88"/>
      <c r="AJ145" s="88"/>
      <c r="AK145" s="13"/>
    </row>
    <row r="146" spans="1:37" ht="13.5" customHeight="1" x14ac:dyDescent="0.15">
      <c r="A146" s="9"/>
      <c r="B146" s="88"/>
      <c r="C146" s="88"/>
      <c r="D146" s="88"/>
      <c r="E146" s="88"/>
      <c r="F146" s="88"/>
      <c r="G146" s="88"/>
      <c r="H146" s="88"/>
      <c r="I146" s="88"/>
      <c r="J146" s="88"/>
      <c r="K146" s="88"/>
      <c r="L146" s="88"/>
      <c r="M146" s="88"/>
      <c r="N146" s="88"/>
      <c r="O146" s="88"/>
      <c r="P146" s="88"/>
      <c r="Q146" s="88"/>
      <c r="R146" s="88"/>
      <c r="S146" s="88"/>
      <c r="T146" s="88"/>
      <c r="U146" s="88"/>
      <c r="V146" s="88"/>
      <c r="W146" s="88"/>
      <c r="X146" s="88"/>
      <c r="Y146" s="88"/>
      <c r="Z146" s="88"/>
      <c r="AA146" s="88"/>
      <c r="AB146" s="88"/>
      <c r="AC146" s="88"/>
      <c r="AD146" s="88"/>
      <c r="AE146" s="88"/>
      <c r="AF146" s="88"/>
      <c r="AG146" s="88"/>
      <c r="AH146" s="88"/>
      <c r="AI146" s="88"/>
      <c r="AJ146" s="88"/>
      <c r="AK146" s="13"/>
    </row>
    <row r="147" spans="1:37" ht="13.5" customHeight="1" x14ac:dyDescent="0.15">
      <c r="A147" s="9"/>
      <c r="B147" s="88"/>
      <c r="C147" s="88"/>
      <c r="D147" s="88"/>
      <c r="E147" s="88"/>
      <c r="F147" s="88"/>
      <c r="G147" s="88"/>
      <c r="H147" s="88"/>
      <c r="I147" s="88"/>
      <c r="J147" s="88"/>
      <c r="K147" s="88"/>
      <c r="L147" s="88"/>
      <c r="M147" s="88"/>
      <c r="N147" s="88"/>
      <c r="O147" s="88"/>
      <c r="P147" s="88"/>
      <c r="Q147" s="88"/>
      <c r="R147" s="88"/>
      <c r="S147" s="88"/>
      <c r="T147" s="88"/>
      <c r="U147" s="88"/>
      <c r="V147" s="88"/>
      <c r="W147" s="88"/>
      <c r="X147" s="88"/>
      <c r="Y147" s="88"/>
      <c r="Z147" s="88"/>
      <c r="AA147" s="88"/>
      <c r="AB147" s="88"/>
      <c r="AC147" s="88"/>
      <c r="AD147" s="88"/>
      <c r="AE147" s="88"/>
      <c r="AF147" s="88"/>
      <c r="AG147" s="88"/>
      <c r="AH147" s="88"/>
      <c r="AI147" s="88"/>
      <c r="AJ147" s="88"/>
      <c r="AK147" s="13"/>
    </row>
    <row r="148" spans="1:37" ht="13.5" customHeight="1" x14ac:dyDescent="0.15">
      <c r="A148" s="9"/>
      <c r="B148" s="88"/>
      <c r="C148" s="88"/>
      <c r="D148" s="88"/>
      <c r="E148" s="88"/>
      <c r="F148" s="88"/>
      <c r="G148" s="88"/>
      <c r="H148" s="88"/>
      <c r="I148" s="88"/>
      <c r="J148" s="88"/>
      <c r="K148" s="88"/>
      <c r="L148" s="88"/>
      <c r="M148" s="88"/>
      <c r="N148" s="88"/>
      <c r="O148" s="88"/>
      <c r="P148" s="88"/>
      <c r="Q148" s="88"/>
      <c r="R148" s="88"/>
      <c r="S148" s="88"/>
      <c r="T148" s="88"/>
      <c r="U148" s="88"/>
      <c r="V148" s="88"/>
      <c r="W148" s="88"/>
      <c r="X148" s="88"/>
      <c r="Y148" s="88"/>
      <c r="Z148" s="88"/>
      <c r="AA148" s="88"/>
      <c r="AB148" s="88"/>
      <c r="AC148" s="88"/>
      <c r="AD148" s="88"/>
      <c r="AE148" s="88"/>
      <c r="AF148" s="88"/>
      <c r="AG148" s="88"/>
      <c r="AH148" s="88"/>
      <c r="AI148" s="88"/>
      <c r="AJ148" s="88"/>
      <c r="AK148" s="13"/>
    </row>
    <row r="149" spans="1:37" ht="13.5" customHeight="1" x14ac:dyDescent="0.15">
      <c r="A149" s="9"/>
      <c r="B149" s="88"/>
      <c r="C149" s="88"/>
      <c r="D149" s="88"/>
      <c r="E149" s="88"/>
      <c r="F149" s="88"/>
      <c r="G149" s="88"/>
      <c r="H149" s="88"/>
      <c r="I149" s="88"/>
      <c r="J149" s="88"/>
      <c r="K149" s="88"/>
      <c r="L149" s="88"/>
      <c r="M149" s="88"/>
      <c r="N149" s="88"/>
      <c r="O149" s="88"/>
      <c r="P149" s="88"/>
      <c r="Q149" s="88"/>
      <c r="R149" s="88"/>
      <c r="S149" s="88"/>
      <c r="T149" s="88"/>
      <c r="U149" s="88"/>
      <c r="V149" s="88"/>
      <c r="W149" s="88"/>
      <c r="X149" s="88"/>
      <c r="Y149" s="88"/>
      <c r="Z149" s="88"/>
      <c r="AA149" s="88"/>
      <c r="AB149" s="88"/>
      <c r="AC149" s="88"/>
      <c r="AD149" s="88"/>
      <c r="AE149" s="88"/>
      <c r="AF149" s="88"/>
      <c r="AG149" s="88"/>
      <c r="AH149" s="88"/>
      <c r="AI149" s="88"/>
      <c r="AJ149" s="88"/>
      <c r="AK149" s="13"/>
    </row>
    <row r="150" spans="1:37" ht="13.5" customHeight="1" x14ac:dyDescent="0.15">
      <c r="A150" s="9"/>
      <c r="B150" s="88"/>
      <c r="C150" s="88"/>
      <c r="D150" s="88"/>
      <c r="E150" s="88"/>
      <c r="F150" s="88"/>
      <c r="G150" s="88"/>
      <c r="H150" s="88"/>
      <c r="I150" s="88"/>
      <c r="J150" s="88"/>
      <c r="K150" s="88"/>
      <c r="L150" s="88"/>
      <c r="M150" s="88"/>
      <c r="N150" s="88"/>
      <c r="O150" s="88"/>
      <c r="P150" s="88"/>
      <c r="Q150" s="88"/>
      <c r="R150" s="88"/>
      <c r="S150" s="88"/>
      <c r="T150" s="88"/>
      <c r="U150" s="88"/>
      <c r="V150" s="88"/>
      <c r="W150" s="88"/>
      <c r="X150" s="88"/>
      <c r="Y150" s="88"/>
      <c r="Z150" s="88"/>
      <c r="AA150" s="88"/>
      <c r="AB150" s="88"/>
      <c r="AC150" s="88"/>
      <c r="AD150" s="88"/>
      <c r="AE150" s="88"/>
      <c r="AF150" s="88"/>
      <c r="AG150" s="88"/>
      <c r="AH150" s="88"/>
      <c r="AI150" s="88"/>
      <c r="AJ150" s="88"/>
      <c r="AK150" s="13"/>
    </row>
    <row r="151" spans="1:37" ht="13.5" customHeight="1" x14ac:dyDescent="0.15">
      <c r="A151" s="9"/>
      <c r="B151" s="88"/>
      <c r="C151" s="88"/>
      <c r="D151" s="88"/>
      <c r="E151" s="88"/>
      <c r="F151" s="88"/>
      <c r="G151" s="88"/>
      <c r="H151" s="88"/>
      <c r="I151" s="88"/>
      <c r="J151" s="88"/>
      <c r="K151" s="88"/>
      <c r="L151" s="88"/>
      <c r="M151" s="88"/>
      <c r="N151" s="88"/>
      <c r="O151" s="88"/>
      <c r="P151" s="88"/>
      <c r="Q151" s="88"/>
      <c r="R151" s="88"/>
      <c r="S151" s="88"/>
      <c r="T151" s="88"/>
      <c r="U151" s="88"/>
      <c r="V151" s="88"/>
      <c r="W151" s="88"/>
      <c r="X151" s="88"/>
      <c r="Y151" s="88"/>
      <c r="Z151" s="88"/>
      <c r="AA151" s="88"/>
      <c r="AB151" s="88"/>
      <c r="AC151" s="88"/>
      <c r="AD151" s="88"/>
      <c r="AE151" s="88"/>
      <c r="AF151" s="88"/>
      <c r="AG151" s="88"/>
      <c r="AH151" s="88"/>
      <c r="AI151" s="88"/>
      <c r="AJ151" s="88"/>
      <c r="AK151" s="13"/>
    </row>
    <row r="152" spans="1:37" ht="13.5" customHeight="1" x14ac:dyDescent="0.15">
      <c r="A152" s="9"/>
      <c r="B152" s="88"/>
      <c r="C152" s="88"/>
      <c r="D152" s="88"/>
      <c r="E152" s="88"/>
      <c r="F152" s="88"/>
      <c r="G152" s="88"/>
      <c r="H152" s="88"/>
      <c r="I152" s="88"/>
      <c r="J152" s="88"/>
      <c r="K152" s="88"/>
      <c r="L152" s="88"/>
      <c r="M152" s="88"/>
      <c r="N152" s="88"/>
      <c r="O152" s="88"/>
      <c r="P152" s="88"/>
      <c r="Q152" s="88"/>
      <c r="R152" s="88"/>
      <c r="S152" s="88"/>
      <c r="T152" s="88"/>
      <c r="U152" s="88"/>
      <c r="V152" s="88"/>
      <c r="W152" s="88"/>
      <c r="X152" s="88"/>
      <c r="Y152" s="88"/>
      <c r="Z152" s="88"/>
      <c r="AA152" s="88"/>
      <c r="AB152" s="88"/>
      <c r="AC152" s="88"/>
      <c r="AD152" s="88"/>
      <c r="AE152" s="88"/>
      <c r="AF152" s="88"/>
      <c r="AG152" s="88"/>
      <c r="AH152" s="88"/>
      <c r="AI152" s="88"/>
      <c r="AJ152" s="88"/>
      <c r="AK152" s="13"/>
    </row>
    <row r="153" spans="1:37" ht="13.5" customHeight="1" x14ac:dyDescent="0.15">
      <c r="A153" s="9"/>
      <c r="B153" s="88"/>
      <c r="C153" s="88"/>
      <c r="D153" s="88"/>
      <c r="E153" s="88"/>
      <c r="F153" s="88"/>
      <c r="G153" s="88"/>
      <c r="H153" s="88"/>
      <c r="I153" s="88"/>
      <c r="J153" s="88"/>
      <c r="K153" s="88"/>
      <c r="L153" s="88"/>
      <c r="M153" s="88"/>
      <c r="N153" s="88"/>
      <c r="O153" s="88"/>
      <c r="P153" s="88"/>
      <c r="Q153" s="88"/>
      <c r="R153" s="88"/>
      <c r="S153" s="88"/>
      <c r="T153" s="88"/>
      <c r="U153" s="88"/>
      <c r="V153" s="88"/>
      <c r="W153" s="88"/>
      <c r="X153" s="88"/>
      <c r="Y153" s="88"/>
      <c r="Z153" s="88"/>
      <c r="AA153" s="88"/>
      <c r="AB153" s="88"/>
      <c r="AC153" s="88"/>
      <c r="AD153" s="88"/>
      <c r="AE153" s="88"/>
      <c r="AF153" s="88"/>
      <c r="AG153" s="88"/>
      <c r="AH153" s="88"/>
      <c r="AI153" s="88"/>
      <c r="AJ153" s="88"/>
      <c r="AK153" s="13"/>
    </row>
    <row r="154" spans="1:37" ht="13.5" customHeight="1" x14ac:dyDescent="0.15">
      <c r="A154" s="9"/>
      <c r="B154" s="88"/>
      <c r="C154" s="88"/>
      <c r="D154" s="88"/>
      <c r="E154" s="88"/>
      <c r="F154" s="88"/>
      <c r="G154" s="88"/>
      <c r="H154" s="88"/>
      <c r="I154" s="88"/>
      <c r="J154" s="88"/>
      <c r="K154" s="88"/>
      <c r="L154" s="88"/>
      <c r="M154" s="88"/>
      <c r="N154" s="88"/>
      <c r="O154" s="88"/>
      <c r="P154" s="88"/>
      <c r="Q154" s="88"/>
      <c r="R154" s="88"/>
      <c r="S154" s="88"/>
      <c r="T154" s="88"/>
      <c r="U154" s="88"/>
      <c r="V154" s="88"/>
      <c r="W154" s="88"/>
      <c r="X154" s="88"/>
      <c r="Y154" s="88"/>
      <c r="Z154" s="88"/>
      <c r="AA154" s="88"/>
      <c r="AB154" s="88"/>
      <c r="AC154" s="88"/>
      <c r="AD154" s="88"/>
      <c r="AE154" s="88"/>
      <c r="AF154" s="88"/>
      <c r="AG154" s="88"/>
      <c r="AH154" s="88"/>
      <c r="AI154" s="88"/>
      <c r="AJ154" s="88"/>
      <c r="AK154" s="13"/>
    </row>
    <row r="155" spans="1:37" ht="13.5" customHeight="1" x14ac:dyDescent="0.15">
      <c r="A155" s="9"/>
      <c r="B155" s="88"/>
      <c r="C155" s="88"/>
      <c r="D155" s="88"/>
      <c r="E155" s="88"/>
      <c r="F155" s="88"/>
      <c r="G155" s="88"/>
      <c r="H155" s="88"/>
      <c r="I155" s="88"/>
      <c r="J155" s="88"/>
      <c r="K155" s="88"/>
      <c r="L155" s="88"/>
      <c r="M155" s="88"/>
      <c r="N155" s="88"/>
      <c r="O155" s="88"/>
      <c r="P155" s="88"/>
      <c r="Q155" s="88"/>
      <c r="R155" s="88"/>
      <c r="S155" s="88"/>
      <c r="T155" s="88"/>
      <c r="U155" s="88"/>
      <c r="V155" s="88"/>
      <c r="W155" s="88"/>
      <c r="X155" s="88"/>
      <c r="Y155" s="88"/>
      <c r="Z155" s="88"/>
      <c r="AA155" s="88"/>
      <c r="AB155" s="88"/>
      <c r="AC155" s="88"/>
      <c r="AD155" s="88"/>
      <c r="AE155" s="88"/>
      <c r="AF155" s="88"/>
      <c r="AG155" s="88"/>
      <c r="AH155" s="88"/>
      <c r="AI155" s="88"/>
      <c r="AJ155" s="88"/>
      <c r="AK155" s="13"/>
    </row>
    <row r="156" spans="1:37" ht="13.5" customHeight="1" x14ac:dyDescent="0.15">
      <c r="A156" s="9"/>
      <c r="B156" s="88"/>
      <c r="C156" s="88"/>
      <c r="D156" s="88"/>
      <c r="E156" s="88"/>
      <c r="F156" s="88"/>
      <c r="G156" s="88"/>
      <c r="H156" s="88"/>
      <c r="I156" s="88"/>
      <c r="J156" s="88"/>
      <c r="K156" s="88"/>
      <c r="L156" s="88"/>
      <c r="M156" s="88"/>
      <c r="N156" s="88"/>
      <c r="O156" s="88"/>
      <c r="P156" s="88"/>
      <c r="Q156" s="88"/>
      <c r="R156" s="88"/>
      <c r="S156" s="88"/>
      <c r="T156" s="88"/>
      <c r="U156" s="88"/>
      <c r="V156" s="88"/>
      <c r="W156" s="88"/>
      <c r="X156" s="88"/>
      <c r="Y156" s="88"/>
      <c r="Z156" s="88"/>
      <c r="AA156" s="88"/>
      <c r="AB156" s="88"/>
      <c r="AC156" s="88"/>
      <c r="AD156" s="88"/>
      <c r="AE156" s="88"/>
      <c r="AF156" s="88"/>
      <c r="AG156" s="88"/>
      <c r="AH156" s="88"/>
      <c r="AI156" s="88"/>
      <c r="AJ156" s="88"/>
      <c r="AK156" s="13"/>
    </row>
    <row r="157" spans="1:37" ht="13.5" customHeight="1" x14ac:dyDescent="0.15">
      <c r="A157" s="9"/>
      <c r="B157" s="88"/>
      <c r="C157" s="88"/>
      <c r="D157" s="88"/>
      <c r="E157" s="88"/>
      <c r="F157" s="88"/>
      <c r="G157" s="88"/>
      <c r="H157" s="88"/>
      <c r="I157" s="88"/>
      <c r="J157" s="88"/>
      <c r="K157" s="88"/>
      <c r="L157" s="88"/>
      <c r="M157" s="88"/>
      <c r="N157" s="88"/>
      <c r="O157" s="88"/>
      <c r="P157" s="88"/>
      <c r="Q157" s="88"/>
      <c r="R157" s="88"/>
      <c r="S157" s="88"/>
      <c r="T157" s="88"/>
      <c r="U157" s="88"/>
      <c r="V157" s="88"/>
      <c r="W157" s="88"/>
      <c r="X157" s="88"/>
      <c r="Y157" s="88"/>
      <c r="Z157" s="88"/>
      <c r="AA157" s="88"/>
      <c r="AB157" s="88"/>
      <c r="AC157" s="88"/>
      <c r="AD157" s="88"/>
      <c r="AE157" s="88"/>
      <c r="AF157" s="88"/>
      <c r="AG157" s="88"/>
      <c r="AH157" s="88"/>
      <c r="AI157" s="88"/>
      <c r="AJ157" s="88"/>
      <c r="AK157" s="13"/>
    </row>
    <row r="158" spans="1:37" ht="13.5" customHeight="1" x14ac:dyDescent="0.15">
      <c r="A158" s="9"/>
      <c r="B158" s="88"/>
      <c r="C158" s="88"/>
      <c r="D158" s="88"/>
      <c r="E158" s="88"/>
      <c r="F158" s="88"/>
      <c r="G158" s="88"/>
      <c r="H158" s="88"/>
      <c r="I158" s="88"/>
      <c r="J158" s="88"/>
      <c r="K158" s="88"/>
      <c r="L158" s="88"/>
      <c r="M158" s="88"/>
      <c r="N158" s="88"/>
      <c r="O158" s="88"/>
      <c r="P158" s="88"/>
      <c r="Q158" s="88"/>
      <c r="R158" s="88"/>
      <c r="S158" s="88"/>
      <c r="T158" s="88"/>
      <c r="U158" s="88"/>
      <c r="V158" s="88"/>
      <c r="W158" s="88"/>
      <c r="X158" s="88"/>
      <c r="Y158" s="88"/>
      <c r="Z158" s="88"/>
      <c r="AA158" s="88"/>
      <c r="AB158" s="88"/>
      <c r="AC158" s="88"/>
      <c r="AD158" s="88"/>
      <c r="AE158" s="88"/>
      <c r="AF158" s="88"/>
      <c r="AG158" s="88"/>
      <c r="AH158" s="88"/>
      <c r="AI158" s="88"/>
      <c r="AJ158" s="88"/>
      <c r="AK158" s="13"/>
    </row>
    <row r="159" spans="1:37" ht="13.5" customHeight="1" x14ac:dyDescent="0.15">
      <c r="A159" s="9"/>
      <c r="B159" s="88"/>
      <c r="C159" s="88"/>
      <c r="D159" s="88"/>
      <c r="E159" s="88"/>
      <c r="F159" s="88"/>
      <c r="G159" s="88"/>
      <c r="H159" s="88"/>
      <c r="I159" s="88"/>
      <c r="J159" s="88"/>
      <c r="K159" s="88"/>
      <c r="L159" s="88"/>
      <c r="M159" s="88"/>
      <c r="N159" s="88"/>
      <c r="O159" s="88"/>
      <c r="P159" s="88"/>
      <c r="Q159" s="88"/>
      <c r="R159" s="88"/>
      <c r="S159" s="88"/>
      <c r="T159" s="88"/>
      <c r="U159" s="88"/>
      <c r="V159" s="88"/>
      <c r="W159" s="88"/>
      <c r="X159" s="88"/>
      <c r="Y159" s="88"/>
      <c r="Z159" s="88"/>
      <c r="AA159" s="88"/>
      <c r="AB159" s="88"/>
      <c r="AC159" s="88"/>
      <c r="AD159" s="88"/>
      <c r="AE159" s="88"/>
      <c r="AF159" s="88"/>
      <c r="AG159" s="88"/>
      <c r="AH159" s="88"/>
      <c r="AI159" s="88"/>
      <c r="AJ159" s="88"/>
      <c r="AK159" s="13"/>
    </row>
    <row r="160" spans="1:37" ht="13.5" customHeight="1" x14ac:dyDescent="0.15">
      <c r="A160" s="9"/>
      <c r="B160" s="88"/>
      <c r="C160" s="88"/>
      <c r="D160" s="88"/>
      <c r="E160" s="88"/>
      <c r="F160" s="88"/>
      <c r="G160" s="88"/>
      <c r="H160" s="88"/>
      <c r="I160" s="88"/>
      <c r="J160" s="88"/>
      <c r="K160" s="88"/>
      <c r="L160" s="88"/>
      <c r="M160" s="88"/>
      <c r="N160" s="88"/>
      <c r="O160" s="88"/>
      <c r="P160" s="88"/>
      <c r="Q160" s="88"/>
      <c r="R160" s="88"/>
      <c r="S160" s="88"/>
      <c r="T160" s="88"/>
      <c r="U160" s="88"/>
      <c r="V160" s="88"/>
      <c r="W160" s="88"/>
      <c r="X160" s="88"/>
      <c r="Y160" s="88"/>
      <c r="Z160" s="88"/>
      <c r="AA160" s="88"/>
      <c r="AB160" s="88"/>
      <c r="AC160" s="88"/>
      <c r="AD160" s="88"/>
      <c r="AE160" s="88"/>
      <c r="AF160" s="88"/>
      <c r="AG160" s="88"/>
      <c r="AH160" s="88"/>
      <c r="AI160" s="88"/>
      <c r="AJ160" s="88"/>
      <c r="AK160" s="13"/>
    </row>
    <row r="161" spans="1:37" ht="13.5" customHeight="1" x14ac:dyDescent="0.15">
      <c r="A161" s="9"/>
      <c r="B161" s="88"/>
      <c r="C161" s="88"/>
      <c r="D161" s="88"/>
      <c r="E161" s="88"/>
      <c r="F161" s="88"/>
      <c r="G161" s="88"/>
      <c r="H161" s="88"/>
      <c r="I161" s="88"/>
      <c r="J161" s="88"/>
      <c r="K161" s="88"/>
      <c r="L161" s="88"/>
      <c r="M161" s="88"/>
      <c r="N161" s="88"/>
      <c r="O161" s="88"/>
      <c r="P161" s="88"/>
      <c r="Q161" s="88"/>
      <c r="R161" s="88"/>
      <c r="S161" s="88"/>
      <c r="T161" s="88"/>
      <c r="U161" s="88"/>
      <c r="V161" s="88"/>
      <c r="W161" s="88"/>
      <c r="X161" s="88"/>
      <c r="Y161" s="88"/>
      <c r="Z161" s="88"/>
      <c r="AA161" s="88"/>
      <c r="AB161" s="88"/>
      <c r="AC161" s="88"/>
      <c r="AD161" s="88"/>
      <c r="AE161" s="88"/>
      <c r="AF161" s="88"/>
      <c r="AG161" s="88"/>
      <c r="AH161" s="88"/>
      <c r="AI161" s="88"/>
      <c r="AJ161" s="88"/>
      <c r="AK161" s="13"/>
    </row>
    <row r="162" spans="1:37" ht="13.5" customHeight="1" x14ac:dyDescent="0.15">
      <c r="A162" s="9"/>
      <c r="B162" s="88"/>
      <c r="C162" s="88"/>
      <c r="D162" s="88"/>
      <c r="E162" s="88"/>
      <c r="F162" s="88"/>
      <c r="G162" s="88"/>
      <c r="H162" s="88"/>
      <c r="I162" s="88"/>
      <c r="J162" s="88"/>
      <c r="K162" s="88"/>
      <c r="L162" s="88"/>
      <c r="M162" s="88"/>
      <c r="N162" s="88"/>
      <c r="O162" s="88"/>
      <c r="P162" s="88"/>
      <c r="Q162" s="88"/>
      <c r="R162" s="88"/>
      <c r="S162" s="88"/>
      <c r="T162" s="88"/>
      <c r="U162" s="88"/>
      <c r="V162" s="88"/>
      <c r="W162" s="88"/>
      <c r="X162" s="88"/>
      <c r="Y162" s="88"/>
      <c r="Z162" s="88"/>
      <c r="AA162" s="88"/>
      <c r="AB162" s="88"/>
      <c r="AC162" s="88"/>
      <c r="AD162" s="88"/>
      <c r="AE162" s="88"/>
      <c r="AF162" s="88"/>
      <c r="AG162" s="88"/>
      <c r="AH162" s="88"/>
      <c r="AI162" s="88"/>
      <c r="AJ162" s="88"/>
      <c r="AK162" s="13"/>
    </row>
    <row r="163" spans="1:37" ht="13.5" customHeight="1" x14ac:dyDescent="0.15">
      <c r="A163" s="9"/>
      <c r="B163" s="88"/>
      <c r="C163" s="88"/>
      <c r="D163" s="88"/>
      <c r="E163" s="88"/>
      <c r="F163" s="88"/>
      <c r="G163" s="88"/>
      <c r="H163" s="88"/>
      <c r="I163" s="88"/>
      <c r="J163" s="88"/>
      <c r="K163" s="88"/>
      <c r="L163" s="88"/>
      <c r="M163" s="88"/>
      <c r="N163" s="88"/>
      <c r="O163" s="88"/>
      <c r="P163" s="88"/>
      <c r="Q163" s="88"/>
      <c r="R163" s="88"/>
      <c r="S163" s="88"/>
      <c r="T163" s="88"/>
      <c r="U163" s="88"/>
      <c r="V163" s="88"/>
      <c r="W163" s="88"/>
      <c r="X163" s="88"/>
      <c r="Y163" s="88"/>
      <c r="Z163" s="88"/>
      <c r="AA163" s="88"/>
      <c r="AB163" s="88"/>
      <c r="AC163" s="88"/>
      <c r="AD163" s="88"/>
      <c r="AE163" s="88"/>
      <c r="AF163" s="88"/>
      <c r="AG163" s="88"/>
      <c r="AH163" s="88"/>
      <c r="AI163" s="88"/>
      <c r="AJ163" s="88"/>
      <c r="AK163" s="13"/>
    </row>
    <row r="164" spans="1:37" ht="13.5" customHeight="1" x14ac:dyDescent="0.15">
      <c r="A164" s="9"/>
      <c r="B164" s="88"/>
      <c r="C164" s="88"/>
      <c r="D164" s="88"/>
      <c r="E164" s="88"/>
      <c r="F164" s="88"/>
      <c r="G164" s="88"/>
      <c r="H164" s="88"/>
      <c r="I164" s="88"/>
      <c r="J164" s="88"/>
      <c r="K164" s="88"/>
      <c r="L164" s="88"/>
      <c r="M164" s="88"/>
      <c r="N164" s="88"/>
      <c r="O164" s="88"/>
      <c r="P164" s="88"/>
      <c r="Q164" s="88"/>
      <c r="R164" s="88"/>
      <c r="S164" s="88"/>
      <c r="T164" s="88"/>
      <c r="U164" s="88"/>
      <c r="V164" s="88"/>
      <c r="W164" s="88"/>
      <c r="X164" s="88"/>
      <c r="Y164" s="88"/>
      <c r="Z164" s="88"/>
      <c r="AA164" s="88"/>
      <c r="AB164" s="88"/>
      <c r="AC164" s="88"/>
      <c r="AD164" s="88"/>
      <c r="AE164" s="88"/>
      <c r="AF164" s="88"/>
      <c r="AG164" s="88"/>
      <c r="AH164" s="88"/>
      <c r="AI164" s="88"/>
      <c r="AJ164" s="88"/>
      <c r="AK164" s="13"/>
    </row>
    <row r="165" spans="1:37" ht="13.5" customHeight="1" x14ac:dyDescent="0.15">
      <c r="A165" s="9"/>
      <c r="B165" s="88"/>
      <c r="C165" s="88"/>
      <c r="D165" s="88"/>
      <c r="E165" s="88"/>
      <c r="F165" s="88"/>
      <c r="G165" s="88"/>
      <c r="H165" s="88"/>
      <c r="I165" s="88"/>
      <c r="J165" s="88"/>
      <c r="K165" s="88"/>
      <c r="L165" s="88"/>
      <c r="M165" s="88"/>
      <c r="N165" s="88"/>
      <c r="O165" s="88"/>
      <c r="P165" s="88"/>
      <c r="Q165" s="88"/>
      <c r="R165" s="88"/>
      <c r="S165" s="88"/>
      <c r="T165" s="88"/>
      <c r="U165" s="88"/>
      <c r="V165" s="88"/>
      <c r="W165" s="88"/>
      <c r="X165" s="88"/>
      <c r="Y165" s="88"/>
      <c r="Z165" s="88"/>
      <c r="AA165" s="88"/>
      <c r="AB165" s="88"/>
      <c r="AC165" s="88"/>
      <c r="AD165" s="88"/>
      <c r="AE165" s="88"/>
      <c r="AF165" s="88"/>
      <c r="AG165" s="88"/>
      <c r="AH165" s="88"/>
      <c r="AI165" s="88"/>
      <c r="AJ165" s="88"/>
      <c r="AK165" s="13"/>
    </row>
    <row r="166" spans="1:37" ht="13.5" customHeight="1" x14ac:dyDescent="0.15">
      <c r="A166" s="9"/>
      <c r="B166" s="88"/>
      <c r="C166" s="88"/>
      <c r="D166" s="88"/>
      <c r="E166" s="88"/>
      <c r="F166" s="88"/>
      <c r="G166" s="88"/>
      <c r="H166" s="88"/>
      <c r="I166" s="88"/>
      <c r="J166" s="88"/>
      <c r="K166" s="88"/>
      <c r="L166" s="88"/>
      <c r="M166" s="88"/>
      <c r="N166" s="88"/>
      <c r="O166" s="88"/>
      <c r="P166" s="88"/>
      <c r="Q166" s="88"/>
      <c r="R166" s="88"/>
      <c r="S166" s="88"/>
      <c r="T166" s="88"/>
      <c r="U166" s="88"/>
      <c r="V166" s="88"/>
      <c r="W166" s="88"/>
      <c r="X166" s="88"/>
      <c r="Y166" s="88"/>
      <c r="Z166" s="88"/>
      <c r="AA166" s="88"/>
      <c r="AB166" s="88"/>
      <c r="AC166" s="88"/>
      <c r="AD166" s="88"/>
      <c r="AE166" s="88"/>
      <c r="AF166" s="88"/>
      <c r="AG166" s="88"/>
      <c r="AH166" s="88"/>
      <c r="AI166" s="88"/>
      <c r="AJ166" s="88"/>
      <c r="AK166" s="13"/>
    </row>
    <row r="167" spans="1:37" ht="13.5" customHeight="1" x14ac:dyDescent="0.15">
      <c r="A167" s="9"/>
      <c r="B167" s="88"/>
      <c r="C167" s="88"/>
      <c r="D167" s="88"/>
      <c r="E167" s="88"/>
      <c r="F167" s="88"/>
      <c r="G167" s="88"/>
      <c r="H167" s="88"/>
      <c r="I167" s="88"/>
      <c r="J167" s="88"/>
      <c r="K167" s="88"/>
      <c r="L167" s="88"/>
      <c r="M167" s="88"/>
      <c r="N167" s="88"/>
      <c r="O167" s="88"/>
      <c r="P167" s="88"/>
      <c r="Q167" s="88"/>
      <c r="R167" s="88"/>
      <c r="S167" s="88"/>
      <c r="T167" s="88"/>
      <c r="U167" s="88"/>
      <c r="V167" s="88"/>
      <c r="W167" s="88"/>
      <c r="X167" s="88"/>
      <c r="Y167" s="88"/>
      <c r="Z167" s="88"/>
      <c r="AA167" s="88"/>
      <c r="AB167" s="88"/>
      <c r="AC167" s="88"/>
      <c r="AD167" s="88"/>
      <c r="AE167" s="88"/>
      <c r="AF167" s="88"/>
      <c r="AG167" s="88"/>
      <c r="AH167" s="88"/>
      <c r="AI167" s="88"/>
      <c r="AJ167" s="88"/>
      <c r="AK167" s="13"/>
    </row>
    <row r="168" spans="1:37" ht="13.5" customHeight="1" x14ac:dyDescent="0.15">
      <c r="A168" s="9"/>
      <c r="B168" s="88"/>
      <c r="C168" s="88"/>
      <c r="D168" s="88"/>
      <c r="E168" s="88"/>
      <c r="F168" s="88"/>
      <c r="G168" s="88"/>
      <c r="H168" s="88"/>
      <c r="I168" s="88"/>
      <c r="J168" s="88"/>
      <c r="K168" s="88"/>
      <c r="L168" s="88"/>
      <c r="M168" s="88"/>
      <c r="N168" s="88"/>
      <c r="O168" s="88"/>
      <c r="P168" s="88"/>
      <c r="Q168" s="88"/>
      <c r="R168" s="88"/>
      <c r="S168" s="88"/>
      <c r="T168" s="88"/>
      <c r="U168" s="88"/>
      <c r="V168" s="88"/>
      <c r="W168" s="88"/>
      <c r="X168" s="88"/>
      <c r="Y168" s="88"/>
      <c r="Z168" s="88"/>
      <c r="AA168" s="88"/>
      <c r="AB168" s="88"/>
      <c r="AC168" s="88"/>
      <c r="AD168" s="88"/>
      <c r="AE168" s="88"/>
      <c r="AF168" s="88"/>
      <c r="AG168" s="88"/>
      <c r="AH168" s="88"/>
      <c r="AI168" s="88"/>
      <c r="AJ168" s="88"/>
      <c r="AK168" s="13"/>
    </row>
    <row r="169" spans="1:37" ht="13.5" customHeight="1" x14ac:dyDescent="0.15">
      <c r="A169" s="9"/>
      <c r="B169" s="88"/>
      <c r="C169" s="88"/>
      <c r="D169" s="88"/>
      <c r="E169" s="88"/>
      <c r="F169" s="88"/>
      <c r="G169" s="88"/>
      <c r="H169" s="88"/>
      <c r="I169" s="88"/>
      <c r="J169" s="88"/>
      <c r="K169" s="88"/>
      <c r="L169" s="88"/>
      <c r="M169" s="88"/>
      <c r="N169" s="88"/>
      <c r="O169" s="88"/>
      <c r="P169" s="88"/>
      <c r="Q169" s="88"/>
      <c r="R169" s="88"/>
      <c r="S169" s="88"/>
      <c r="T169" s="88"/>
      <c r="U169" s="88"/>
      <c r="V169" s="88"/>
      <c r="W169" s="88"/>
      <c r="X169" s="88"/>
      <c r="Y169" s="88"/>
      <c r="Z169" s="88"/>
      <c r="AA169" s="88"/>
      <c r="AB169" s="88"/>
      <c r="AC169" s="88"/>
      <c r="AD169" s="88"/>
      <c r="AE169" s="88"/>
      <c r="AF169" s="88"/>
      <c r="AG169" s="88"/>
      <c r="AH169" s="88"/>
      <c r="AI169" s="88"/>
      <c r="AJ169" s="88"/>
      <c r="AK169" s="13"/>
    </row>
    <row r="170" spans="1:37" ht="13.5" customHeight="1" x14ac:dyDescent="0.15">
      <c r="A170" s="9"/>
      <c r="B170" s="88"/>
      <c r="C170" s="88"/>
      <c r="D170" s="88"/>
      <c r="E170" s="88"/>
      <c r="F170" s="88"/>
      <c r="G170" s="88"/>
      <c r="H170" s="88"/>
      <c r="I170" s="88"/>
      <c r="J170" s="88"/>
      <c r="K170" s="88"/>
      <c r="L170" s="88"/>
      <c r="M170" s="88"/>
      <c r="N170" s="88"/>
      <c r="O170" s="88"/>
      <c r="P170" s="88"/>
      <c r="Q170" s="88"/>
      <c r="R170" s="88"/>
      <c r="S170" s="88"/>
      <c r="T170" s="88"/>
      <c r="U170" s="88"/>
      <c r="V170" s="88"/>
      <c r="W170" s="88"/>
      <c r="X170" s="88"/>
      <c r="Y170" s="88"/>
      <c r="Z170" s="88"/>
      <c r="AA170" s="88"/>
      <c r="AB170" s="88"/>
      <c r="AC170" s="88"/>
      <c r="AD170" s="88"/>
      <c r="AE170" s="88"/>
      <c r="AF170" s="88"/>
      <c r="AG170" s="88"/>
      <c r="AH170" s="88"/>
      <c r="AI170" s="88"/>
      <c r="AJ170" s="88"/>
      <c r="AK170" s="13"/>
    </row>
    <row r="171" spans="1:37" ht="13.5" customHeight="1" x14ac:dyDescent="0.15">
      <c r="A171" s="9"/>
      <c r="B171" s="88"/>
      <c r="C171" s="88"/>
      <c r="D171" s="88"/>
      <c r="E171" s="88"/>
      <c r="F171" s="88"/>
      <c r="G171" s="88"/>
      <c r="H171" s="88"/>
      <c r="I171" s="88"/>
      <c r="J171" s="88"/>
      <c r="K171" s="88"/>
      <c r="L171" s="88"/>
      <c r="M171" s="88"/>
      <c r="N171" s="88"/>
      <c r="O171" s="88"/>
      <c r="P171" s="88"/>
      <c r="Q171" s="88"/>
      <c r="R171" s="88"/>
      <c r="S171" s="88"/>
      <c r="T171" s="88"/>
      <c r="U171" s="88"/>
      <c r="V171" s="88"/>
      <c r="W171" s="11"/>
      <c r="X171" s="88"/>
      <c r="Y171" s="88"/>
      <c r="Z171" s="88"/>
      <c r="AA171" s="88"/>
      <c r="AB171" s="88"/>
      <c r="AC171" s="88"/>
      <c r="AD171" s="88"/>
      <c r="AE171" s="88"/>
      <c r="AF171" s="88"/>
      <c r="AG171" s="88"/>
      <c r="AH171" s="88"/>
      <c r="AI171" s="88"/>
      <c r="AJ171" s="88"/>
      <c r="AK171" s="13"/>
    </row>
    <row r="172" spans="1:37" ht="13.5" customHeight="1" x14ac:dyDescent="0.15">
      <c r="A172" s="9"/>
      <c r="B172" s="88"/>
      <c r="C172" s="88"/>
      <c r="D172" s="88"/>
      <c r="E172" s="88"/>
      <c r="F172" s="88"/>
      <c r="G172" s="88"/>
      <c r="H172" s="88"/>
      <c r="I172" s="88"/>
      <c r="J172" s="88"/>
      <c r="K172" s="88"/>
      <c r="L172" s="88"/>
      <c r="M172" s="88"/>
      <c r="N172" s="88"/>
      <c r="O172" s="88"/>
      <c r="P172" s="88"/>
      <c r="Q172" s="88"/>
      <c r="R172" s="88"/>
      <c r="S172" s="88"/>
      <c r="T172" s="88"/>
      <c r="U172" s="88"/>
      <c r="V172" s="88"/>
      <c r="W172" s="11"/>
      <c r="X172" s="88"/>
      <c r="Y172" s="88"/>
      <c r="Z172" s="88"/>
      <c r="AA172" s="88"/>
      <c r="AB172" s="88"/>
      <c r="AC172" s="88"/>
      <c r="AD172" s="88"/>
      <c r="AE172" s="88"/>
      <c r="AF172" s="88"/>
      <c r="AG172" s="88"/>
      <c r="AH172" s="11"/>
      <c r="AI172" s="11"/>
      <c r="AJ172" s="11"/>
      <c r="AK172" s="13"/>
    </row>
    <row r="173" spans="1:37" ht="13.5" customHeight="1" x14ac:dyDescent="0.15">
      <c r="A173" s="9"/>
      <c r="B173" s="88"/>
      <c r="C173" s="88"/>
      <c r="D173" s="88"/>
      <c r="E173" s="88"/>
      <c r="F173" s="88"/>
      <c r="G173" s="88"/>
      <c r="H173" s="88"/>
      <c r="I173" s="88"/>
      <c r="J173" s="88"/>
      <c r="K173" s="88"/>
      <c r="L173" s="88"/>
      <c r="M173" s="88"/>
      <c r="N173" s="88"/>
      <c r="O173" s="88"/>
      <c r="P173" s="88"/>
      <c r="Q173" s="88"/>
      <c r="R173" s="88"/>
      <c r="S173" s="88"/>
      <c r="T173" s="88"/>
      <c r="U173" s="88"/>
      <c r="V173" s="88"/>
      <c r="W173" s="11"/>
      <c r="X173" s="88"/>
      <c r="Y173" s="88"/>
      <c r="Z173" s="88"/>
      <c r="AA173" s="88"/>
      <c r="AB173" s="88"/>
      <c r="AC173" s="88"/>
      <c r="AD173" s="88"/>
      <c r="AE173" s="88"/>
      <c r="AF173" s="88"/>
      <c r="AG173" s="88"/>
      <c r="AH173" s="11"/>
      <c r="AI173" s="11"/>
      <c r="AJ173" s="11"/>
      <c r="AK173" s="13"/>
    </row>
    <row r="174" spans="1:37" ht="13.5" customHeight="1" x14ac:dyDescent="0.15">
      <c r="A174" s="9"/>
      <c r="B174" s="88"/>
      <c r="C174" s="88"/>
      <c r="D174" s="88"/>
      <c r="E174" s="88"/>
      <c r="F174" s="88"/>
      <c r="G174" s="88"/>
      <c r="H174" s="88"/>
      <c r="I174" s="88"/>
      <c r="J174" s="88"/>
      <c r="K174" s="88"/>
      <c r="L174" s="88"/>
      <c r="M174" s="88"/>
      <c r="N174" s="88"/>
      <c r="O174" s="88"/>
      <c r="P174" s="88"/>
      <c r="Q174" s="88"/>
      <c r="R174" s="88"/>
      <c r="S174" s="88"/>
      <c r="T174" s="88"/>
      <c r="U174" s="88"/>
      <c r="V174" s="88"/>
      <c r="W174" s="11"/>
      <c r="X174" s="88"/>
      <c r="Y174" s="88"/>
      <c r="Z174" s="88"/>
      <c r="AA174" s="88"/>
      <c r="AB174" s="88"/>
      <c r="AC174" s="88"/>
      <c r="AD174" s="88"/>
      <c r="AE174" s="88"/>
      <c r="AF174" s="88"/>
      <c r="AG174" s="88"/>
      <c r="AH174" s="11"/>
      <c r="AI174" s="11"/>
      <c r="AJ174" s="11"/>
      <c r="AK174" s="13"/>
    </row>
    <row r="175" spans="1:37" ht="13.5" customHeight="1" x14ac:dyDescent="0.15">
      <c r="A175" s="9"/>
      <c r="B175" s="88"/>
      <c r="C175" s="88"/>
      <c r="D175" s="88"/>
      <c r="E175" s="88"/>
      <c r="F175" s="88"/>
      <c r="G175" s="88"/>
      <c r="H175" s="88"/>
      <c r="I175" s="88"/>
      <c r="J175" s="88"/>
      <c r="K175" s="88"/>
      <c r="L175" s="88"/>
      <c r="M175" s="88"/>
      <c r="N175" s="88"/>
      <c r="O175" s="88"/>
      <c r="P175" s="88"/>
      <c r="Q175" s="88"/>
      <c r="R175" s="88"/>
      <c r="S175" s="88"/>
      <c r="T175" s="88"/>
      <c r="U175" s="88"/>
      <c r="V175" s="88"/>
      <c r="W175" s="11"/>
      <c r="X175" s="88"/>
      <c r="Y175" s="88"/>
      <c r="Z175" s="88"/>
      <c r="AA175" s="88"/>
      <c r="AB175" s="88"/>
      <c r="AC175" s="88"/>
      <c r="AD175" s="88"/>
      <c r="AE175" s="88"/>
      <c r="AF175" s="88"/>
      <c r="AG175" s="88"/>
      <c r="AH175" s="11"/>
      <c r="AI175" s="89"/>
      <c r="AJ175" s="121" t="s">
        <v>166</v>
      </c>
      <c r="AK175" s="91"/>
    </row>
    <row r="176" spans="1:37" ht="13.5" customHeight="1" x14ac:dyDescent="0.15">
      <c r="A176" s="9"/>
      <c r="B176" s="88"/>
      <c r="C176" s="88"/>
      <c r="D176" s="88"/>
      <c r="E176" s="88"/>
      <c r="F176" s="88"/>
      <c r="G176" s="88"/>
      <c r="H176" s="88"/>
      <c r="I176" s="88"/>
      <c r="J176" s="88"/>
      <c r="K176" s="88"/>
      <c r="L176" s="88"/>
      <c r="M176" s="88"/>
      <c r="N176" s="88"/>
      <c r="O176" s="88"/>
      <c r="P176" s="88"/>
      <c r="Q176" s="88"/>
      <c r="R176" s="88"/>
      <c r="S176" s="88"/>
      <c r="T176" s="88"/>
      <c r="U176" s="88"/>
      <c r="V176" s="88"/>
      <c r="W176" s="88"/>
      <c r="X176" s="88"/>
      <c r="Y176" s="88"/>
      <c r="Z176" s="88"/>
      <c r="AA176" s="88"/>
      <c r="AB176" s="88"/>
      <c r="AC176" s="88"/>
      <c r="AD176" s="88"/>
      <c r="AE176" s="88"/>
      <c r="AF176" s="88"/>
      <c r="AG176" s="88"/>
      <c r="AH176" s="11"/>
      <c r="AI176" s="122"/>
      <c r="AJ176" s="123"/>
      <c r="AK176" s="124" t="s">
        <v>204</v>
      </c>
    </row>
    <row r="177" spans="1:37" ht="13.5" customHeight="1" x14ac:dyDescent="0.15">
      <c r="A177" s="9"/>
      <c r="B177" s="88"/>
      <c r="C177" s="88"/>
      <c r="D177" s="88"/>
      <c r="E177" s="88"/>
      <c r="F177" s="88"/>
      <c r="G177" s="88"/>
      <c r="H177" s="88"/>
      <c r="I177" s="88"/>
      <c r="J177" s="88"/>
      <c r="K177" s="88"/>
      <c r="L177" s="88"/>
      <c r="M177" s="88"/>
      <c r="N177" s="88"/>
      <c r="O177" s="88"/>
      <c r="P177" s="88"/>
      <c r="Q177" s="88"/>
      <c r="R177" s="88"/>
      <c r="S177" s="88"/>
      <c r="T177" s="88"/>
      <c r="U177" s="88"/>
      <c r="V177" s="88"/>
      <c r="W177" s="88"/>
      <c r="X177" s="88"/>
      <c r="Y177" s="88"/>
      <c r="Z177" s="88"/>
      <c r="AA177" s="88"/>
      <c r="AB177" s="88"/>
      <c r="AC177" s="88"/>
      <c r="AD177" s="88"/>
      <c r="AE177" s="88"/>
      <c r="AF177" s="88"/>
      <c r="AG177" s="88"/>
      <c r="AH177" s="88"/>
      <c r="AI177" s="125"/>
      <c r="AJ177" s="88"/>
      <c r="AK177" s="126"/>
    </row>
    <row r="178" spans="1:37" ht="13.5" customHeight="1" x14ac:dyDescent="0.15">
      <c r="A178" s="9"/>
      <c r="B178" s="88"/>
      <c r="C178" s="88"/>
      <c r="D178" s="88"/>
      <c r="E178" s="88"/>
      <c r="F178" s="88"/>
      <c r="G178" s="88"/>
      <c r="H178" s="88"/>
      <c r="I178" s="88"/>
      <c r="J178" s="88"/>
      <c r="K178" s="88"/>
      <c r="L178" s="88"/>
      <c r="M178" s="88"/>
      <c r="N178" s="88"/>
      <c r="O178" s="88"/>
      <c r="P178" s="88"/>
      <c r="Q178" s="88"/>
      <c r="R178" s="88"/>
      <c r="S178" s="88"/>
      <c r="T178" s="88"/>
      <c r="U178" s="88"/>
      <c r="V178" s="88"/>
      <c r="W178" s="88"/>
      <c r="X178" s="88"/>
      <c r="Y178" s="88"/>
      <c r="Z178" s="88"/>
      <c r="AA178" s="88"/>
      <c r="AB178" s="88"/>
      <c r="AC178" s="88"/>
      <c r="AD178" s="88"/>
      <c r="AE178" s="88"/>
      <c r="AF178" s="88"/>
      <c r="AG178" s="88"/>
      <c r="AH178" s="88"/>
      <c r="AI178" s="125"/>
      <c r="AJ178" s="88"/>
      <c r="AK178" s="126" t="s">
        <v>94</v>
      </c>
    </row>
    <row r="179" spans="1:37" ht="13.5" customHeight="1" x14ac:dyDescent="0.15">
      <c r="A179" s="9"/>
      <c r="B179" s="88"/>
      <c r="C179" s="88"/>
      <c r="D179" s="88"/>
      <c r="E179" s="88"/>
      <c r="F179" s="88"/>
      <c r="G179" s="88"/>
      <c r="H179" s="88"/>
      <c r="I179" s="88"/>
      <c r="J179" s="88"/>
      <c r="K179" s="88"/>
      <c r="L179" s="88"/>
      <c r="M179" s="88"/>
      <c r="N179" s="88"/>
      <c r="O179" s="88"/>
      <c r="P179" s="88"/>
      <c r="Q179" s="88"/>
      <c r="R179" s="88"/>
      <c r="S179" s="88"/>
      <c r="T179" s="88"/>
      <c r="U179" s="88"/>
      <c r="V179" s="88"/>
      <c r="W179" s="88"/>
      <c r="X179" s="88"/>
      <c r="Y179" s="88"/>
      <c r="Z179" s="88"/>
      <c r="AA179" s="88"/>
      <c r="AB179" s="88"/>
      <c r="AC179" s="88"/>
      <c r="AD179" s="88"/>
      <c r="AE179" s="88"/>
      <c r="AF179" s="88"/>
      <c r="AG179" s="88"/>
      <c r="AH179" s="88"/>
      <c r="AI179" s="125"/>
      <c r="AJ179" s="88"/>
      <c r="AK179" s="126"/>
    </row>
    <row r="180" spans="1:37" ht="13.5" customHeight="1" x14ac:dyDescent="0.15">
      <c r="A180" s="9"/>
      <c r="B180" s="88"/>
      <c r="C180" s="88"/>
      <c r="D180" s="88"/>
      <c r="E180" s="88"/>
      <c r="F180" s="88"/>
      <c r="G180" s="88"/>
      <c r="H180" s="88"/>
      <c r="I180" s="88"/>
      <c r="J180" s="88"/>
      <c r="K180" s="88"/>
      <c r="L180" s="88"/>
      <c r="M180" s="88"/>
      <c r="N180" s="88"/>
      <c r="O180" s="88"/>
      <c r="P180" s="88"/>
      <c r="Q180" s="88"/>
      <c r="R180" s="88"/>
      <c r="S180" s="88"/>
      <c r="T180" s="88"/>
      <c r="U180" s="88"/>
      <c r="V180" s="88"/>
      <c r="W180" s="88"/>
      <c r="X180" s="88"/>
      <c r="Y180" s="88"/>
      <c r="Z180" s="88"/>
      <c r="AA180" s="88"/>
      <c r="AB180" s="88"/>
      <c r="AC180" s="88"/>
      <c r="AD180" s="88"/>
      <c r="AE180" s="88"/>
      <c r="AF180" s="88"/>
      <c r="AG180" s="88"/>
      <c r="AH180" s="88"/>
      <c r="AI180" s="125"/>
      <c r="AJ180" s="88"/>
      <c r="AK180" s="126" t="s">
        <v>165</v>
      </c>
    </row>
    <row r="181" spans="1:37" ht="13.5" customHeight="1" x14ac:dyDescent="0.15">
      <c r="A181" s="9"/>
      <c r="B181" s="88"/>
      <c r="C181" s="88"/>
      <c r="D181" s="88"/>
      <c r="E181" s="88"/>
      <c r="F181" s="88"/>
      <c r="G181" s="88"/>
      <c r="H181" s="88"/>
      <c r="I181" s="88"/>
      <c r="J181" s="88"/>
      <c r="K181" s="88"/>
      <c r="L181" s="88"/>
      <c r="M181" s="88"/>
      <c r="N181" s="88"/>
      <c r="O181" s="88"/>
      <c r="P181" s="88"/>
      <c r="Q181" s="88"/>
      <c r="R181" s="88"/>
      <c r="S181" s="88"/>
      <c r="T181" s="88"/>
      <c r="U181" s="88"/>
      <c r="V181" s="88"/>
      <c r="W181" s="88"/>
      <c r="X181" s="88"/>
      <c r="Y181" s="88"/>
      <c r="Z181" s="88"/>
      <c r="AA181" s="88"/>
      <c r="AB181" s="88"/>
      <c r="AC181" s="88"/>
      <c r="AD181" s="88"/>
      <c r="AE181" s="88"/>
      <c r="AF181" s="88"/>
      <c r="AG181" s="88"/>
      <c r="AH181" s="88"/>
      <c r="AI181" s="125"/>
      <c r="AJ181" s="88"/>
      <c r="AK181" s="126"/>
    </row>
    <row r="182" spans="1:37" ht="13.5" customHeight="1" x14ac:dyDescent="0.15">
      <c r="A182" s="9"/>
      <c r="B182" s="88"/>
      <c r="C182" s="88"/>
      <c r="D182" s="88"/>
      <c r="E182" s="88"/>
      <c r="F182" s="88"/>
      <c r="G182" s="88"/>
      <c r="H182" s="88"/>
      <c r="I182" s="88"/>
      <c r="J182" s="88"/>
      <c r="K182" s="88"/>
      <c r="L182" s="88"/>
      <c r="M182" s="88"/>
      <c r="N182" s="88"/>
      <c r="O182" s="88"/>
      <c r="P182" s="88"/>
      <c r="Q182" s="88"/>
      <c r="R182" s="88"/>
      <c r="S182" s="88"/>
      <c r="T182" s="88"/>
      <c r="U182" s="88"/>
      <c r="V182" s="88"/>
      <c r="W182" s="88"/>
      <c r="X182" s="88"/>
      <c r="Y182" s="88"/>
      <c r="Z182" s="88"/>
      <c r="AA182" s="88"/>
      <c r="AB182" s="88"/>
      <c r="AC182" s="88"/>
      <c r="AD182" s="88"/>
      <c r="AE182" s="88"/>
      <c r="AF182" s="88"/>
      <c r="AG182" s="88"/>
      <c r="AH182" s="88"/>
      <c r="AI182" s="125"/>
      <c r="AJ182" s="88"/>
      <c r="AK182" s="126" t="s">
        <v>203</v>
      </c>
    </row>
    <row r="183" spans="1:37" ht="13.5" customHeight="1" x14ac:dyDescent="0.15">
      <c r="A183" s="14"/>
      <c r="B183" s="15"/>
      <c r="C183" s="15"/>
      <c r="D183" s="15"/>
      <c r="E183" s="15"/>
      <c r="F183" s="15"/>
      <c r="G183" s="15"/>
      <c r="H183" s="15"/>
      <c r="I183" s="15"/>
      <c r="J183" s="15"/>
      <c r="K183" s="15"/>
      <c r="L183" s="15"/>
      <c r="M183" s="15"/>
      <c r="N183" s="15"/>
      <c r="O183" s="15"/>
      <c r="P183" s="15"/>
      <c r="Q183" s="15"/>
      <c r="R183" s="15"/>
      <c r="S183" s="15"/>
      <c r="T183" s="15"/>
      <c r="U183" s="15"/>
      <c r="V183" s="15"/>
      <c r="W183" s="15"/>
      <c r="X183" s="15"/>
      <c r="Y183" s="15"/>
      <c r="Z183" s="15"/>
      <c r="AA183" s="15"/>
      <c r="AB183" s="15"/>
      <c r="AC183" s="15"/>
      <c r="AD183" s="15"/>
      <c r="AE183" s="15"/>
      <c r="AF183" s="15"/>
      <c r="AG183" s="15"/>
      <c r="AH183" s="15"/>
      <c r="AI183" s="14"/>
      <c r="AJ183" s="15"/>
      <c r="AK183" s="16"/>
    </row>
  </sheetData>
  <mergeCells count="38">
    <mergeCell ref="AI123:AK123"/>
    <mergeCell ref="G124:I124"/>
    <mergeCell ref="AB124:AC125"/>
    <mergeCell ref="AD124:AF125"/>
    <mergeCell ref="AG124:AH125"/>
    <mergeCell ref="AI124:AK125"/>
    <mergeCell ref="G125:I125"/>
    <mergeCell ref="A123:F125"/>
    <mergeCell ref="G123:I123"/>
    <mergeCell ref="AB123:AC123"/>
    <mergeCell ref="AD123:AF123"/>
    <mergeCell ref="AG123:AH123"/>
    <mergeCell ref="AE53:AK53"/>
    <mergeCell ref="A62:F64"/>
    <mergeCell ref="G62:I62"/>
    <mergeCell ref="AB62:AC62"/>
    <mergeCell ref="AD62:AF62"/>
    <mergeCell ref="AG62:AH62"/>
    <mergeCell ref="AI62:AK62"/>
    <mergeCell ref="G63:I63"/>
    <mergeCell ref="AB63:AC64"/>
    <mergeCell ref="AD63:AF64"/>
    <mergeCell ref="AG63:AH64"/>
    <mergeCell ref="AI63:AK64"/>
    <mergeCell ref="G64:I64"/>
    <mergeCell ref="AM1:AP1"/>
    <mergeCell ref="G2:I2"/>
    <mergeCell ref="AB2:AC3"/>
    <mergeCell ref="AD2:AF3"/>
    <mergeCell ref="AG2:AH3"/>
    <mergeCell ref="AI2:AK3"/>
    <mergeCell ref="G3:I3"/>
    <mergeCell ref="AI1:AK1"/>
    <mergeCell ref="A1:F3"/>
    <mergeCell ref="G1:I1"/>
    <mergeCell ref="AB1:AC1"/>
    <mergeCell ref="AD1:AF1"/>
    <mergeCell ref="AG1:AH1"/>
  </mergeCells>
  <phoneticPr fontId="1"/>
  <printOptions horizontalCentered="1"/>
  <pageMargins left="0.23622047244094491" right="0.23622047244094491" top="0.39370078740157483" bottom="0.39370078740157483" header="0" footer="0"/>
  <pageSetup paperSize="8" fitToHeight="0" orientation="landscape" r:id="rId1"/>
  <headerFooter alignWithMargins="0">
    <oddFooter>&amp;L&amp;F&amp;R&amp;P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63553" r:id="rId4" name="Button 1">
              <controlPr defaultSize="0" print="0" autoFill="0" autoPict="0" macro="[0]!Sheet2.CreateER">
                <anchor moveWithCells="1" sizeWithCells="1">
                  <from>
                    <xdr:col>33</xdr:col>
                    <xdr:colOff>352425</xdr:colOff>
                    <xdr:row>4</xdr:row>
                    <xdr:rowOff>76200</xdr:rowOff>
                  </from>
                  <to>
                    <xdr:col>36</xdr:col>
                    <xdr:colOff>381000</xdr:colOff>
                    <xdr:row>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69A9FB-4900-4D1E-AEC7-C60D99A968C6}">
  <sheetPr codeName="Sheet2"/>
  <dimension ref="A1:AT183"/>
  <sheetViews>
    <sheetView showGridLines="0" zoomScale="85" zoomScaleNormal="85" zoomScaleSheetLayoutView="100" zoomScalePageLayoutView="70" workbookViewId="0">
      <selection activeCell="AG22" sqref="AG22"/>
    </sheetView>
  </sheetViews>
  <sheetFormatPr defaultColWidth="5.625" defaultRowHeight="13.5" customHeight="1" x14ac:dyDescent="0.15"/>
  <cols>
    <col min="1" max="1" width="5.625" style="12" customWidth="1"/>
    <col min="2" max="15" width="5.625" style="4" customWidth="1"/>
    <col min="16" max="16" width="5.625" style="12" customWidth="1"/>
    <col min="17" max="248" width="5.625" style="4"/>
    <col min="249" max="264" width="5.625" style="4" customWidth="1"/>
    <col min="265" max="504" width="5.625" style="4"/>
    <col min="505" max="520" width="5.625" style="4" customWidth="1"/>
    <col min="521" max="760" width="5.625" style="4"/>
    <col min="761" max="776" width="5.625" style="4" customWidth="1"/>
    <col min="777" max="1016" width="5.625" style="4"/>
    <col min="1017" max="1032" width="5.625" style="4" customWidth="1"/>
    <col min="1033" max="1272" width="5.625" style="4"/>
    <col min="1273" max="1288" width="5.625" style="4" customWidth="1"/>
    <col min="1289" max="1528" width="5.625" style="4"/>
    <col min="1529" max="1544" width="5.625" style="4" customWidth="1"/>
    <col min="1545" max="1784" width="5.625" style="4"/>
    <col min="1785" max="1800" width="5.625" style="4" customWidth="1"/>
    <col min="1801" max="2040" width="5.625" style="4"/>
    <col min="2041" max="2056" width="5.625" style="4" customWidth="1"/>
    <col min="2057" max="2296" width="5.625" style="4"/>
    <col min="2297" max="2312" width="5.625" style="4" customWidth="1"/>
    <col min="2313" max="2552" width="5.625" style="4"/>
    <col min="2553" max="2568" width="5.625" style="4" customWidth="1"/>
    <col min="2569" max="2808" width="5.625" style="4"/>
    <col min="2809" max="2824" width="5.625" style="4" customWidth="1"/>
    <col min="2825" max="3064" width="5.625" style="4"/>
    <col min="3065" max="3080" width="5.625" style="4" customWidth="1"/>
    <col min="3081" max="3320" width="5.625" style="4"/>
    <col min="3321" max="3336" width="5.625" style="4" customWidth="1"/>
    <col min="3337" max="3576" width="5.625" style="4"/>
    <col min="3577" max="3592" width="5.625" style="4" customWidth="1"/>
    <col min="3593" max="3832" width="5.625" style="4"/>
    <col min="3833" max="3848" width="5.625" style="4" customWidth="1"/>
    <col min="3849" max="4088" width="5.625" style="4"/>
    <col min="4089" max="4104" width="5.625" style="4" customWidth="1"/>
    <col min="4105" max="4344" width="5.625" style="4"/>
    <col min="4345" max="4360" width="5.625" style="4" customWidth="1"/>
    <col min="4361" max="4600" width="5.625" style="4"/>
    <col min="4601" max="4616" width="5.625" style="4" customWidth="1"/>
    <col min="4617" max="4856" width="5.625" style="4"/>
    <col min="4857" max="4872" width="5.625" style="4" customWidth="1"/>
    <col min="4873" max="5112" width="5.625" style="4"/>
    <col min="5113" max="5128" width="5.625" style="4" customWidth="1"/>
    <col min="5129" max="5368" width="5.625" style="4"/>
    <col min="5369" max="5384" width="5.625" style="4" customWidth="1"/>
    <col min="5385" max="5624" width="5.625" style="4"/>
    <col min="5625" max="5640" width="5.625" style="4" customWidth="1"/>
    <col min="5641" max="5880" width="5.625" style="4"/>
    <col min="5881" max="5896" width="5.625" style="4" customWidth="1"/>
    <col min="5897" max="6136" width="5.625" style="4"/>
    <col min="6137" max="6152" width="5.625" style="4" customWidth="1"/>
    <col min="6153" max="6392" width="5.625" style="4"/>
    <col min="6393" max="6408" width="5.625" style="4" customWidth="1"/>
    <col min="6409" max="6648" width="5.625" style="4"/>
    <col min="6649" max="6664" width="5.625" style="4" customWidth="1"/>
    <col min="6665" max="6904" width="5.625" style="4"/>
    <col min="6905" max="6920" width="5.625" style="4" customWidth="1"/>
    <col min="6921" max="7160" width="5.625" style="4"/>
    <col min="7161" max="7176" width="5.625" style="4" customWidth="1"/>
    <col min="7177" max="7416" width="5.625" style="4"/>
    <col min="7417" max="7432" width="5.625" style="4" customWidth="1"/>
    <col min="7433" max="7672" width="5.625" style="4"/>
    <col min="7673" max="7688" width="5.625" style="4" customWidth="1"/>
    <col min="7689" max="7928" width="5.625" style="4"/>
    <col min="7929" max="7944" width="5.625" style="4" customWidth="1"/>
    <col min="7945" max="8184" width="5.625" style="4"/>
    <col min="8185" max="8200" width="5.625" style="4" customWidth="1"/>
    <col min="8201" max="8440" width="5.625" style="4"/>
    <col min="8441" max="8456" width="5.625" style="4" customWidth="1"/>
    <col min="8457" max="8696" width="5.625" style="4"/>
    <col min="8697" max="8712" width="5.625" style="4" customWidth="1"/>
    <col min="8713" max="8952" width="5.625" style="4"/>
    <col min="8953" max="8968" width="5.625" style="4" customWidth="1"/>
    <col min="8969" max="9208" width="5.625" style="4"/>
    <col min="9209" max="9224" width="5.625" style="4" customWidth="1"/>
    <col min="9225" max="9464" width="5.625" style="4"/>
    <col min="9465" max="9480" width="5.625" style="4" customWidth="1"/>
    <col min="9481" max="9720" width="5.625" style="4"/>
    <col min="9721" max="9736" width="5.625" style="4" customWidth="1"/>
    <col min="9737" max="9976" width="5.625" style="4"/>
    <col min="9977" max="9992" width="5.625" style="4" customWidth="1"/>
    <col min="9993" max="10232" width="5.625" style="4"/>
    <col min="10233" max="10248" width="5.625" style="4" customWidth="1"/>
    <col min="10249" max="10488" width="5.625" style="4"/>
    <col min="10489" max="10504" width="5.625" style="4" customWidth="1"/>
    <col min="10505" max="10744" width="5.625" style="4"/>
    <col min="10745" max="10760" width="5.625" style="4" customWidth="1"/>
    <col min="10761" max="11000" width="5.625" style="4"/>
    <col min="11001" max="11016" width="5.625" style="4" customWidth="1"/>
    <col min="11017" max="11256" width="5.625" style="4"/>
    <col min="11257" max="11272" width="5.625" style="4" customWidth="1"/>
    <col min="11273" max="11512" width="5.625" style="4"/>
    <col min="11513" max="11528" width="5.625" style="4" customWidth="1"/>
    <col min="11529" max="11768" width="5.625" style="4"/>
    <col min="11769" max="11784" width="5.625" style="4" customWidth="1"/>
    <col min="11785" max="12024" width="5.625" style="4"/>
    <col min="12025" max="12040" width="5.625" style="4" customWidth="1"/>
    <col min="12041" max="12280" width="5.625" style="4"/>
    <col min="12281" max="12296" width="5.625" style="4" customWidth="1"/>
    <col min="12297" max="12536" width="5.625" style="4"/>
    <col min="12537" max="12552" width="5.625" style="4" customWidth="1"/>
    <col min="12553" max="12792" width="5.625" style="4"/>
    <col min="12793" max="12808" width="5.625" style="4" customWidth="1"/>
    <col min="12809" max="13048" width="5.625" style="4"/>
    <col min="13049" max="13064" width="5.625" style="4" customWidth="1"/>
    <col min="13065" max="13304" width="5.625" style="4"/>
    <col min="13305" max="13320" width="5.625" style="4" customWidth="1"/>
    <col min="13321" max="13560" width="5.625" style="4"/>
    <col min="13561" max="13576" width="5.625" style="4" customWidth="1"/>
    <col min="13577" max="13816" width="5.625" style="4"/>
    <col min="13817" max="13832" width="5.625" style="4" customWidth="1"/>
    <col min="13833" max="14072" width="5.625" style="4"/>
    <col min="14073" max="14088" width="5.625" style="4" customWidth="1"/>
    <col min="14089" max="14328" width="5.625" style="4"/>
    <col min="14329" max="14344" width="5.625" style="4" customWidth="1"/>
    <col min="14345" max="14584" width="5.625" style="4"/>
    <col min="14585" max="14600" width="5.625" style="4" customWidth="1"/>
    <col min="14601" max="14840" width="5.625" style="4"/>
    <col min="14841" max="14856" width="5.625" style="4" customWidth="1"/>
    <col min="14857" max="15096" width="5.625" style="4"/>
    <col min="15097" max="15112" width="5.625" style="4" customWidth="1"/>
    <col min="15113" max="15352" width="5.625" style="4"/>
    <col min="15353" max="15368" width="5.625" style="4" customWidth="1"/>
    <col min="15369" max="15608" width="5.625" style="4"/>
    <col min="15609" max="15624" width="5.625" style="4" customWidth="1"/>
    <col min="15625" max="15864" width="5.625" style="4"/>
    <col min="15865" max="15880" width="5.625" style="4" customWidth="1"/>
    <col min="15881" max="16120" width="5.625" style="4"/>
    <col min="16121" max="16136" width="5.625" style="4" customWidth="1"/>
    <col min="16137" max="16384" width="5.625" style="4"/>
  </cols>
  <sheetData>
    <row r="1" spans="1:46" ht="13.5" customHeight="1" x14ac:dyDescent="0.15">
      <c r="A1" s="260" t="s">
        <v>17</v>
      </c>
      <c r="B1" s="261"/>
      <c r="C1" s="261"/>
      <c r="D1" s="261"/>
      <c r="E1" s="261"/>
      <c r="F1" s="262"/>
      <c r="G1" s="243" t="s">
        <v>5</v>
      </c>
      <c r="H1" s="245"/>
      <c r="I1" s="244"/>
      <c r="J1" s="21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243" t="s">
        <v>8</v>
      </c>
      <c r="AC1" s="244"/>
      <c r="AD1" s="243" t="s">
        <v>7</v>
      </c>
      <c r="AE1" s="245"/>
      <c r="AF1" s="244"/>
      <c r="AG1" s="243" t="s">
        <v>9</v>
      </c>
      <c r="AH1" s="244"/>
      <c r="AI1" s="243" t="s">
        <v>10</v>
      </c>
      <c r="AJ1" s="245"/>
      <c r="AK1" s="244"/>
      <c r="AM1" s="269" t="s">
        <v>164</v>
      </c>
      <c r="AN1" s="269"/>
      <c r="AO1" s="269"/>
      <c r="AP1" s="269"/>
      <c r="AQ1" s="120" t="s">
        <v>340</v>
      </c>
    </row>
    <row r="2" spans="1:46" ht="13.5" customHeight="1" x14ac:dyDescent="0.15">
      <c r="A2" s="263"/>
      <c r="B2" s="264"/>
      <c r="C2" s="264"/>
      <c r="D2" s="264"/>
      <c r="E2" s="264"/>
      <c r="F2" s="265"/>
      <c r="G2" s="243" t="s">
        <v>6</v>
      </c>
      <c r="H2" s="245"/>
      <c r="I2" s="244"/>
      <c r="J2" s="21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246"/>
      <c r="AC2" s="247"/>
      <c r="AD2" s="250"/>
      <c r="AE2" s="251"/>
      <c r="AF2" s="252"/>
      <c r="AG2" s="246"/>
      <c r="AH2" s="247"/>
      <c r="AI2" s="250"/>
      <c r="AJ2" s="251"/>
      <c r="AK2" s="252"/>
    </row>
    <row r="3" spans="1:46" ht="13.5" customHeight="1" x14ac:dyDescent="0.15">
      <c r="A3" s="266"/>
      <c r="B3" s="267"/>
      <c r="C3" s="267"/>
      <c r="D3" s="267"/>
      <c r="E3" s="267"/>
      <c r="F3" s="268"/>
      <c r="G3" s="243"/>
      <c r="H3" s="245"/>
      <c r="I3" s="244"/>
      <c r="J3" s="21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248"/>
      <c r="AC3" s="249"/>
      <c r="AD3" s="253"/>
      <c r="AE3" s="254"/>
      <c r="AF3" s="255"/>
      <c r="AG3" s="248"/>
      <c r="AH3" s="249"/>
      <c r="AI3" s="253"/>
      <c r="AJ3" s="254"/>
      <c r="AK3" s="255"/>
    </row>
    <row r="4" spans="1:46" ht="13.5" customHeight="1" x14ac:dyDescent="0.15">
      <c r="A4" s="86"/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8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</row>
    <row r="5" spans="1:46" ht="13.5" customHeight="1" x14ac:dyDescent="0.15">
      <c r="A5" s="83" t="s">
        <v>17</v>
      </c>
      <c r="B5" s="84"/>
      <c r="C5" s="84"/>
      <c r="D5" s="84"/>
      <c r="E5" s="84"/>
      <c r="F5" s="84"/>
      <c r="G5" s="84"/>
      <c r="H5" s="84"/>
      <c r="I5" s="84"/>
      <c r="J5" s="84"/>
      <c r="K5" s="84"/>
      <c r="L5" s="84"/>
      <c r="M5" s="84"/>
      <c r="N5" s="84"/>
      <c r="O5" s="84"/>
      <c r="P5" s="84"/>
      <c r="Q5" s="84"/>
      <c r="R5" s="84"/>
      <c r="S5" s="84"/>
      <c r="T5" s="84"/>
      <c r="U5" s="84"/>
      <c r="V5" s="84"/>
      <c r="W5" s="84"/>
      <c r="X5" s="84"/>
      <c r="Y5" s="84"/>
      <c r="Z5" s="84"/>
      <c r="AA5" s="84"/>
      <c r="AB5" s="84"/>
      <c r="AC5" s="84"/>
      <c r="AD5" s="84"/>
      <c r="AE5" s="84"/>
      <c r="AF5" s="84"/>
      <c r="AG5" s="84"/>
      <c r="AH5" s="84"/>
      <c r="AI5" s="84"/>
      <c r="AJ5" s="84"/>
      <c r="AK5" s="85"/>
    </row>
    <row r="6" spans="1:46" ht="13.5" customHeight="1" x14ac:dyDescent="0.15">
      <c r="A6" s="159"/>
      <c r="B6" s="160"/>
      <c r="C6" s="160"/>
      <c r="D6" s="160"/>
      <c r="E6" s="160"/>
      <c r="F6" s="160"/>
      <c r="G6" s="160"/>
      <c r="H6" s="160"/>
      <c r="I6" s="160"/>
      <c r="J6" s="160"/>
      <c r="K6" s="160"/>
      <c r="L6" s="160"/>
      <c r="M6" s="160"/>
      <c r="N6" s="160"/>
      <c r="O6" s="160"/>
      <c r="P6" s="160"/>
      <c r="Q6" s="160"/>
      <c r="R6" s="160"/>
      <c r="S6" s="160"/>
      <c r="T6" s="160"/>
      <c r="U6" s="160"/>
      <c r="V6" s="160"/>
      <c r="W6" s="160"/>
      <c r="X6" s="160"/>
      <c r="Y6" s="160"/>
      <c r="Z6" s="160"/>
      <c r="AA6" s="160"/>
      <c r="AB6" s="160"/>
      <c r="AC6" s="160"/>
      <c r="AD6" s="160"/>
      <c r="AE6" s="160"/>
      <c r="AF6" s="160"/>
      <c r="AG6" s="160"/>
      <c r="AH6" s="160"/>
      <c r="AI6" s="160"/>
      <c r="AJ6" s="160"/>
      <c r="AK6" s="161"/>
      <c r="AL6" s="8"/>
      <c r="AM6" s="8"/>
    </row>
    <row r="7" spans="1:46" ht="13.5" customHeight="1" x14ac:dyDescent="0.15">
      <c r="A7" s="17"/>
      <c r="B7" s="88"/>
      <c r="C7" s="88"/>
      <c r="D7" s="88"/>
      <c r="E7" s="88"/>
      <c r="F7" s="88"/>
      <c r="G7" s="88"/>
      <c r="H7" s="88"/>
      <c r="I7" s="88"/>
      <c r="J7" s="88"/>
      <c r="K7" s="88"/>
      <c r="L7" s="88"/>
      <c r="M7" s="88"/>
      <c r="N7" s="88"/>
      <c r="O7" s="88"/>
      <c r="P7" s="88"/>
      <c r="Q7" s="88"/>
      <c r="R7" s="88"/>
      <c r="S7" s="88"/>
      <c r="T7" s="88"/>
      <c r="U7" s="88"/>
      <c r="V7" s="88"/>
      <c r="W7" s="88"/>
      <c r="X7" s="88"/>
      <c r="Y7" s="88"/>
      <c r="Z7" s="88"/>
      <c r="AA7" s="88"/>
      <c r="AB7" s="88"/>
      <c r="AC7" s="88"/>
      <c r="AD7" s="88"/>
      <c r="AE7" s="88"/>
      <c r="AF7" s="88"/>
      <c r="AG7" s="88"/>
      <c r="AH7" s="88"/>
      <c r="AI7" s="88"/>
      <c r="AJ7" s="88"/>
      <c r="AK7" s="13"/>
      <c r="AL7" s="8"/>
      <c r="AM7" s="10"/>
      <c r="AN7" s="10"/>
      <c r="AO7" s="11"/>
      <c r="AP7" s="11"/>
      <c r="AQ7" s="11"/>
      <c r="AR7" s="11"/>
      <c r="AS7" s="11"/>
      <c r="AT7" s="11"/>
    </row>
    <row r="8" spans="1:46" ht="13.5" customHeight="1" x14ac:dyDescent="0.15">
      <c r="A8" s="17"/>
      <c r="B8" s="88"/>
      <c r="C8" s="88"/>
      <c r="D8" s="88"/>
      <c r="E8" s="88"/>
      <c r="F8" s="88"/>
      <c r="G8" s="88"/>
      <c r="H8" s="88"/>
      <c r="I8" s="88"/>
      <c r="J8" s="88"/>
      <c r="K8" s="88"/>
      <c r="L8" s="88"/>
      <c r="M8" s="88"/>
      <c r="N8" s="88"/>
      <c r="O8" s="88"/>
      <c r="P8" s="88"/>
      <c r="Q8" s="88"/>
      <c r="R8" s="88"/>
      <c r="S8" s="88"/>
      <c r="T8" s="88"/>
      <c r="U8" s="88"/>
      <c r="V8" s="88"/>
      <c r="W8" s="88"/>
      <c r="X8" s="88"/>
      <c r="Y8" s="88"/>
      <c r="Z8" s="88"/>
      <c r="AA8" s="88"/>
      <c r="AB8" s="88"/>
      <c r="AC8" s="88"/>
      <c r="AD8" s="88"/>
      <c r="AE8" s="88"/>
      <c r="AF8" s="88"/>
      <c r="AG8" s="88"/>
      <c r="AH8" s="88"/>
      <c r="AI8" s="88"/>
      <c r="AJ8" s="88"/>
      <c r="AK8" s="13"/>
      <c r="AL8" s="8"/>
      <c r="AM8" s="10"/>
      <c r="AN8" s="10"/>
      <c r="AO8" s="11"/>
      <c r="AP8" s="11"/>
      <c r="AQ8" s="11"/>
      <c r="AR8" s="11"/>
      <c r="AS8" s="11"/>
      <c r="AT8" s="11"/>
    </row>
    <row r="9" spans="1:46" ht="13.5" customHeight="1" x14ac:dyDescent="0.15">
      <c r="A9" s="17"/>
      <c r="B9" s="88"/>
      <c r="C9" s="88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88"/>
      <c r="P9" s="88"/>
      <c r="Q9" s="88"/>
      <c r="R9" s="88"/>
      <c r="S9" s="88"/>
      <c r="T9" s="88"/>
      <c r="U9" s="88"/>
      <c r="V9" s="88"/>
      <c r="W9" s="88"/>
      <c r="X9" s="88"/>
      <c r="Y9" s="88"/>
      <c r="Z9" s="88"/>
      <c r="AA9" s="88"/>
      <c r="AB9" s="88"/>
      <c r="AC9" s="88"/>
      <c r="AD9" s="88"/>
      <c r="AE9" s="88"/>
      <c r="AF9" s="88"/>
      <c r="AG9" s="88"/>
      <c r="AH9" s="88"/>
      <c r="AI9" s="88"/>
      <c r="AJ9" s="88"/>
      <c r="AK9" s="13"/>
      <c r="AL9" s="8"/>
      <c r="AM9" s="10"/>
      <c r="AN9" s="10"/>
      <c r="AO9" s="11"/>
      <c r="AP9" s="11"/>
      <c r="AQ9" s="11"/>
      <c r="AR9" s="11"/>
      <c r="AS9" s="11"/>
      <c r="AT9" s="11"/>
    </row>
    <row r="10" spans="1:46" ht="13.5" customHeight="1" x14ac:dyDescent="0.15">
      <c r="A10" s="17"/>
      <c r="B10" s="88"/>
      <c r="C10" s="88"/>
      <c r="D10" s="88"/>
      <c r="E10" s="88"/>
      <c r="F10" s="88"/>
      <c r="G10" s="88"/>
      <c r="H10" s="88"/>
      <c r="I10" s="88"/>
      <c r="J10" s="88"/>
      <c r="K10" s="88"/>
      <c r="L10" s="88"/>
      <c r="M10" s="88"/>
      <c r="N10" s="88"/>
      <c r="O10" s="88"/>
      <c r="P10" s="88"/>
      <c r="Q10" s="88"/>
      <c r="R10" s="88"/>
      <c r="S10" s="88"/>
      <c r="T10" s="88"/>
      <c r="U10" s="88"/>
      <c r="V10" s="88"/>
      <c r="W10" s="88"/>
      <c r="X10" s="88"/>
      <c r="Y10" s="88"/>
      <c r="Z10" s="88"/>
      <c r="AA10" s="88"/>
      <c r="AB10" s="88"/>
      <c r="AC10" s="88"/>
      <c r="AD10" s="88"/>
      <c r="AE10" s="88"/>
      <c r="AF10" s="88"/>
      <c r="AG10" s="88"/>
      <c r="AH10" s="88"/>
      <c r="AI10" s="88"/>
      <c r="AJ10" s="88"/>
      <c r="AK10" s="13"/>
      <c r="AL10" s="8"/>
      <c r="AM10" s="10"/>
      <c r="AN10" s="10"/>
      <c r="AO10" s="11"/>
      <c r="AP10" s="11"/>
      <c r="AQ10" s="11"/>
      <c r="AR10" s="11"/>
      <c r="AS10" s="11"/>
      <c r="AT10" s="11"/>
    </row>
    <row r="11" spans="1:46" ht="13.5" customHeight="1" x14ac:dyDescent="0.15">
      <c r="A11" s="17"/>
      <c r="B11" s="88"/>
      <c r="C11" s="88"/>
      <c r="D11" s="88"/>
      <c r="E11" s="88"/>
      <c r="F11" s="88"/>
      <c r="G11" s="88"/>
      <c r="H11" s="88"/>
      <c r="I11" s="88"/>
      <c r="J11" s="88"/>
      <c r="K11" s="88"/>
      <c r="L11" s="88"/>
      <c r="M11" s="88"/>
      <c r="N11" s="88"/>
      <c r="O11" s="88"/>
      <c r="P11" s="88"/>
      <c r="Q11" s="88"/>
      <c r="R11" s="88"/>
      <c r="S11" s="88"/>
      <c r="T11" s="88"/>
      <c r="U11" s="88"/>
      <c r="V11" s="88"/>
      <c r="W11" s="88"/>
      <c r="X11" s="88"/>
      <c r="Y11" s="88"/>
      <c r="Z11" s="88"/>
      <c r="AA11" s="88"/>
      <c r="AB11" s="88"/>
      <c r="AC11" s="88"/>
      <c r="AD11" s="88"/>
      <c r="AE11" s="88"/>
      <c r="AF11" s="88"/>
      <c r="AG11" s="88"/>
      <c r="AH11" s="88"/>
      <c r="AI11" s="88"/>
      <c r="AJ11" s="88"/>
      <c r="AK11" s="13"/>
      <c r="AL11" s="8"/>
      <c r="AM11" s="10"/>
      <c r="AN11" s="10"/>
      <c r="AO11" s="11"/>
      <c r="AP11" s="11"/>
      <c r="AQ11" s="11"/>
      <c r="AR11" s="11"/>
      <c r="AS11" s="11"/>
      <c r="AT11" s="11"/>
    </row>
    <row r="12" spans="1:46" ht="13.5" customHeight="1" x14ac:dyDescent="0.15">
      <c r="A12" s="17"/>
      <c r="B12" s="88"/>
      <c r="C12" s="88"/>
      <c r="D12" s="88"/>
      <c r="E12" s="88"/>
      <c r="F12" s="88"/>
      <c r="G12" s="88"/>
      <c r="H12" s="88"/>
      <c r="I12" s="88"/>
      <c r="J12" s="88"/>
      <c r="K12" s="88"/>
      <c r="L12" s="88"/>
      <c r="M12" s="88"/>
      <c r="N12" s="88"/>
      <c r="O12" s="88"/>
      <c r="P12" s="88"/>
      <c r="Q12" s="88"/>
      <c r="R12" s="88"/>
      <c r="S12" s="88"/>
      <c r="T12" s="88"/>
      <c r="U12" s="88"/>
      <c r="V12" s="88"/>
      <c r="W12" s="88"/>
      <c r="X12" s="88"/>
      <c r="Y12" s="88"/>
      <c r="Z12" s="88"/>
      <c r="AA12" s="88"/>
      <c r="AB12" s="88"/>
      <c r="AC12" s="88"/>
      <c r="AD12" s="88"/>
      <c r="AE12" s="88"/>
      <c r="AF12" s="88"/>
      <c r="AG12" s="88"/>
      <c r="AH12" s="88"/>
      <c r="AI12" s="88"/>
      <c r="AJ12" s="88"/>
      <c r="AK12" s="13"/>
      <c r="AL12" s="8"/>
      <c r="AM12" s="10"/>
      <c r="AN12" s="10"/>
      <c r="AO12" s="11"/>
      <c r="AP12" s="11"/>
      <c r="AQ12" s="11"/>
      <c r="AR12" s="11"/>
      <c r="AS12" s="11"/>
      <c r="AT12" s="11"/>
    </row>
    <row r="13" spans="1:46" ht="13.5" customHeight="1" x14ac:dyDescent="0.15">
      <c r="A13" s="17"/>
      <c r="B13" s="88"/>
      <c r="C13" s="88"/>
      <c r="D13" s="88"/>
      <c r="E13" s="88"/>
      <c r="F13" s="88"/>
      <c r="G13" s="88"/>
      <c r="H13" s="88"/>
      <c r="I13" s="88"/>
      <c r="J13" s="88"/>
      <c r="K13" s="88"/>
      <c r="L13" s="88"/>
      <c r="M13" s="88"/>
      <c r="N13" s="88"/>
      <c r="O13" s="88"/>
      <c r="P13" s="88"/>
      <c r="Q13" s="88"/>
      <c r="R13" s="88"/>
      <c r="S13" s="88"/>
      <c r="T13" s="88"/>
      <c r="U13" s="88"/>
      <c r="V13" s="88"/>
      <c r="W13" s="88"/>
      <c r="X13" s="88"/>
      <c r="Y13" s="88"/>
      <c r="Z13" s="88"/>
      <c r="AA13" s="88"/>
      <c r="AB13" s="88"/>
      <c r="AC13" s="88"/>
      <c r="AD13" s="88"/>
      <c r="AE13" s="88"/>
      <c r="AF13" s="88"/>
      <c r="AG13" s="88"/>
      <c r="AH13" s="88"/>
      <c r="AI13" s="88"/>
      <c r="AJ13" s="88"/>
      <c r="AK13" s="13"/>
      <c r="AL13" s="8"/>
      <c r="AM13" s="10"/>
      <c r="AN13" s="10"/>
      <c r="AO13" s="11"/>
      <c r="AP13" s="11"/>
      <c r="AQ13" s="11"/>
      <c r="AR13" s="11"/>
      <c r="AS13" s="11"/>
      <c r="AT13" s="11"/>
    </row>
    <row r="14" spans="1:46" ht="13.5" customHeight="1" x14ac:dyDescent="0.15">
      <c r="A14" s="17"/>
      <c r="B14" s="88"/>
      <c r="C14" s="88"/>
      <c r="D14" s="88"/>
      <c r="E14" s="88"/>
      <c r="F14" s="88"/>
      <c r="G14" s="88"/>
      <c r="H14" s="88"/>
      <c r="I14" s="88"/>
      <c r="J14" s="88"/>
      <c r="K14" s="88"/>
      <c r="L14" s="88"/>
      <c r="M14" s="88"/>
      <c r="N14" s="88"/>
      <c r="O14" s="88"/>
      <c r="P14" s="88"/>
      <c r="Q14" s="88"/>
      <c r="R14" s="88"/>
      <c r="S14" s="88"/>
      <c r="T14" s="88"/>
      <c r="U14" s="88"/>
      <c r="V14" s="88"/>
      <c r="W14" s="88"/>
      <c r="X14" s="88"/>
      <c r="Y14" s="88"/>
      <c r="Z14" s="88"/>
      <c r="AA14" s="88"/>
      <c r="AB14" s="88"/>
      <c r="AC14" s="88"/>
      <c r="AD14" s="88"/>
      <c r="AE14" s="88"/>
      <c r="AF14" s="88"/>
      <c r="AG14" s="88"/>
      <c r="AH14" s="88"/>
      <c r="AI14" s="88"/>
      <c r="AJ14" s="88"/>
      <c r="AK14" s="13"/>
      <c r="AL14" s="8"/>
      <c r="AM14" s="10"/>
      <c r="AN14" s="10"/>
      <c r="AO14" s="11"/>
      <c r="AP14" s="11"/>
      <c r="AQ14" s="11"/>
      <c r="AR14" s="11"/>
      <c r="AS14" s="11"/>
      <c r="AT14" s="11"/>
    </row>
    <row r="15" spans="1:46" ht="13.5" customHeight="1" x14ac:dyDescent="0.15">
      <c r="A15" s="9"/>
      <c r="B15" s="88"/>
      <c r="C15" s="88"/>
      <c r="D15" s="88"/>
      <c r="E15" s="88"/>
      <c r="F15" s="88"/>
      <c r="G15" s="88"/>
      <c r="H15" s="88"/>
      <c r="I15" s="88"/>
      <c r="J15" s="88"/>
      <c r="K15" s="88"/>
      <c r="L15" s="88"/>
      <c r="M15" s="88"/>
      <c r="N15" s="88"/>
      <c r="O15" s="88"/>
      <c r="P15" s="88"/>
      <c r="Q15" s="88"/>
      <c r="R15" s="88"/>
      <c r="S15" s="88"/>
      <c r="T15" s="88"/>
      <c r="U15" s="88"/>
      <c r="V15" s="88"/>
      <c r="W15" s="88"/>
      <c r="X15" s="88"/>
      <c r="Y15" s="88"/>
      <c r="Z15" s="88"/>
      <c r="AA15" s="88"/>
      <c r="AB15" s="88"/>
      <c r="AC15" s="88"/>
      <c r="AD15" s="88"/>
      <c r="AE15" s="88"/>
      <c r="AF15" s="88"/>
      <c r="AG15" s="88"/>
      <c r="AH15" s="88"/>
      <c r="AI15" s="88"/>
      <c r="AJ15" s="88"/>
      <c r="AK15" s="13"/>
      <c r="AL15" s="8"/>
      <c r="AM15" s="10"/>
      <c r="AN15" s="10"/>
      <c r="AO15" s="11"/>
      <c r="AP15" s="11"/>
      <c r="AQ15" s="11"/>
      <c r="AR15" s="11"/>
      <c r="AS15" s="11"/>
      <c r="AT15" s="11"/>
    </row>
    <row r="16" spans="1:46" ht="13.5" customHeight="1" x14ac:dyDescent="0.15">
      <c r="A16" s="9"/>
      <c r="B16" s="88"/>
      <c r="C16" s="88"/>
      <c r="D16" s="88"/>
      <c r="E16" s="88"/>
      <c r="F16" s="88"/>
      <c r="G16" s="88"/>
      <c r="H16" s="88"/>
      <c r="I16" s="88"/>
      <c r="J16" s="88"/>
      <c r="K16" s="88"/>
      <c r="L16" s="88"/>
      <c r="M16" s="88"/>
      <c r="N16" s="88"/>
      <c r="O16" s="88"/>
      <c r="P16" s="88"/>
      <c r="Q16" s="88"/>
      <c r="R16" s="88"/>
      <c r="S16" s="88"/>
      <c r="T16" s="88"/>
      <c r="U16" s="88"/>
      <c r="V16" s="88"/>
      <c r="W16" s="88"/>
      <c r="X16" s="88"/>
      <c r="Y16" s="88"/>
      <c r="Z16" s="88"/>
      <c r="AA16" s="88"/>
      <c r="AB16" s="88"/>
      <c r="AC16" s="88"/>
      <c r="AD16" s="88"/>
      <c r="AE16" s="88"/>
      <c r="AF16" s="88"/>
      <c r="AG16" s="88"/>
      <c r="AH16" s="88"/>
      <c r="AI16" s="88"/>
      <c r="AJ16" s="88"/>
      <c r="AK16" s="13"/>
      <c r="AL16" s="8"/>
      <c r="AM16" s="10"/>
      <c r="AN16" s="10"/>
      <c r="AO16" s="11"/>
      <c r="AP16" s="11"/>
      <c r="AQ16" s="11"/>
      <c r="AR16" s="11"/>
      <c r="AS16" s="11"/>
      <c r="AT16" s="11"/>
    </row>
    <row r="17" spans="1:46" ht="13.5" customHeight="1" x14ac:dyDescent="0.15">
      <c r="A17" s="9"/>
      <c r="B17" s="88"/>
      <c r="C17" s="88"/>
      <c r="D17" s="88"/>
      <c r="E17" s="88"/>
      <c r="F17" s="88"/>
      <c r="G17" s="88"/>
      <c r="H17" s="88"/>
      <c r="I17" s="88"/>
      <c r="J17" s="88"/>
      <c r="K17" s="88"/>
      <c r="L17" s="88"/>
      <c r="M17" s="88"/>
      <c r="N17" s="88"/>
      <c r="O17" s="88"/>
      <c r="P17" s="88"/>
      <c r="Q17" s="88"/>
      <c r="R17" s="88"/>
      <c r="S17" s="88"/>
      <c r="T17" s="88"/>
      <c r="U17" s="88"/>
      <c r="V17" s="88"/>
      <c r="W17" s="88"/>
      <c r="X17" s="88"/>
      <c r="Y17" s="88"/>
      <c r="Z17" s="88"/>
      <c r="AA17" s="88"/>
      <c r="AB17" s="88"/>
      <c r="AC17" s="88"/>
      <c r="AD17" s="88"/>
      <c r="AE17" s="88"/>
      <c r="AF17" s="88"/>
      <c r="AG17" s="88"/>
      <c r="AH17" s="88"/>
      <c r="AI17" s="88"/>
      <c r="AJ17" s="88"/>
      <c r="AK17" s="13"/>
      <c r="AL17" s="8"/>
      <c r="AM17" s="10"/>
      <c r="AN17" s="10"/>
      <c r="AO17" s="11"/>
      <c r="AP17" s="11"/>
      <c r="AQ17" s="11"/>
      <c r="AR17" s="11"/>
      <c r="AS17" s="11"/>
      <c r="AT17" s="11"/>
    </row>
    <row r="18" spans="1:46" ht="13.5" customHeight="1" x14ac:dyDescent="0.15">
      <c r="A18" s="9"/>
      <c r="B18" s="88"/>
      <c r="C18" s="88"/>
      <c r="D18" s="88"/>
      <c r="E18" s="88"/>
      <c r="F18" s="88"/>
      <c r="G18" s="88"/>
      <c r="H18" s="88"/>
      <c r="I18" s="88"/>
      <c r="J18" s="88"/>
      <c r="K18" s="88"/>
      <c r="L18" s="88"/>
      <c r="M18" s="88"/>
      <c r="N18" s="88"/>
      <c r="O18" s="88"/>
      <c r="P18" s="88"/>
      <c r="Q18" s="88"/>
      <c r="R18" s="88"/>
      <c r="S18" s="88"/>
      <c r="T18" s="88"/>
      <c r="U18" s="88"/>
      <c r="V18" s="88"/>
      <c r="W18" s="88"/>
      <c r="X18" s="88"/>
      <c r="Y18" s="88"/>
      <c r="Z18" s="88"/>
      <c r="AA18" s="88"/>
      <c r="AB18" s="88"/>
      <c r="AC18" s="88"/>
      <c r="AD18" s="88"/>
      <c r="AE18" s="88"/>
      <c r="AF18" s="88"/>
      <c r="AG18" s="88"/>
      <c r="AH18" s="88"/>
      <c r="AI18" s="88"/>
      <c r="AJ18" s="88"/>
      <c r="AK18" s="13"/>
      <c r="AL18" s="8"/>
      <c r="AM18" s="10"/>
      <c r="AN18" s="10"/>
      <c r="AO18" s="11"/>
      <c r="AP18" s="11"/>
      <c r="AQ18" s="11"/>
      <c r="AR18" s="11"/>
      <c r="AS18" s="11"/>
      <c r="AT18" s="11"/>
    </row>
    <row r="19" spans="1:46" ht="13.5" customHeight="1" x14ac:dyDescent="0.15">
      <c r="A19" s="9"/>
      <c r="B19" s="88"/>
      <c r="C19" s="88"/>
      <c r="D19" s="88"/>
      <c r="E19" s="88"/>
      <c r="F19" s="88"/>
      <c r="G19" s="88"/>
      <c r="H19" s="88"/>
      <c r="I19" s="88"/>
      <c r="J19" s="88"/>
      <c r="K19" s="88"/>
      <c r="L19" s="88"/>
      <c r="M19" s="88"/>
      <c r="N19" s="88"/>
      <c r="O19" s="88"/>
      <c r="P19" s="88"/>
      <c r="Q19" s="88"/>
      <c r="R19" s="88"/>
      <c r="S19" s="88"/>
      <c r="T19" s="88"/>
      <c r="U19" s="88"/>
      <c r="V19" s="88"/>
      <c r="W19" s="88"/>
      <c r="X19" s="88"/>
      <c r="Y19" s="88"/>
      <c r="Z19" s="88"/>
      <c r="AA19" s="88"/>
      <c r="AB19" s="88"/>
      <c r="AC19" s="88"/>
      <c r="AD19" s="88"/>
      <c r="AE19" s="88"/>
      <c r="AF19" s="88"/>
      <c r="AG19" s="88"/>
      <c r="AH19" s="88"/>
      <c r="AI19" s="88"/>
      <c r="AJ19" s="88"/>
      <c r="AK19" s="13"/>
      <c r="AL19" s="8"/>
      <c r="AM19" s="10"/>
      <c r="AN19" s="10"/>
      <c r="AO19" s="11"/>
      <c r="AP19" s="11"/>
      <c r="AQ19" s="11"/>
      <c r="AR19" s="11"/>
      <c r="AS19" s="11"/>
      <c r="AT19" s="11"/>
    </row>
    <row r="20" spans="1:46" ht="13.5" customHeight="1" x14ac:dyDescent="0.15">
      <c r="A20" s="9"/>
      <c r="B20" s="88"/>
      <c r="C20" s="88"/>
      <c r="D20" s="88"/>
      <c r="E20" s="88"/>
      <c r="F20" s="88"/>
      <c r="G20" s="88"/>
      <c r="H20" s="88"/>
      <c r="I20" s="88"/>
      <c r="J20" s="88"/>
      <c r="K20" s="88"/>
      <c r="L20" s="88"/>
      <c r="M20" s="88"/>
      <c r="N20" s="88"/>
      <c r="O20" s="88"/>
      <c r="P20" s="88"/>
      <c r="Q20" s="88"/>
      <c r="R20" s="88"/>
      <c r="S20" s="88"/>
      <c r="T20" s="88"/>
      <c r="U20" s="88"/>
      <c r="V20" s="88"/>
      <c r="W20" s="88"/>
      <c r="X20" s="88"/>
      <c r="Y20" s="88"/>
      <c r="Z20" s="88"/>
      <c r="AA20" s="88"/>
      <c r="AB20" s="88"/>
      <c r="AC20" s="88"/>
      <c r="AD20" s="88"/>
      <c r="AE20" s="88"/>
      <c r="AF20" s="88"/>
      <c r="AG20" s="88"/>
      <c r="AH20" s="88"/>
      <c r="AI20" s="88"/>
      <c r="AJ20" s="88"/>
      <c r="AK20" s="13"/>
      <c r="AL20" s="8"/>
      <c r="AM20" s="10"/>
      <c r="AN20" s="10"/>
      <c r="AO20" s="11"/>
      <c r="AP20" s="11"/>
      <c r="AQ20" s="11"/>
      <c r="AR20" s="11"/>
      <c r="AS20" s="11"/>
      <c r="AT20" s="11"/>
    </row>
    <row r="21" spans="1:46" ht="13.5" customHeight="1" x14ac:dyDescent="0.15">
      <c r="A21" s="9"/>
      <c r="B21" s="88"/>
      <c r="C21" s="88"/>
      <c r="D21" s="88"/>
      <c r="E21" s="88"/>
      <c r="F21" s="88"/>
      <c r="G21" s="88"/>
      <c r="H21" s="88"/>
      <c r="I21" s="88"/>
      <c r="J21" s="88"/>
      <c r="K21" s="88"/>
      <c r="L21" s="88"/>
      <c r="M21" s="88"/>
      <c r="N21" s="88"/>
      <c r="O21" s="88"/>
      <c r="P21" s="88"/>
      <c r="Q21" s="88"/>
      <c r="R21" s="88"/>
      <c r="S21" s="88"/>
      <c r="T21" s="88"/>
      <c r="U21" s="88"/>
      <c r="V21" s="88"/>
      <c r="W21" s="88"/>
      <c r="X21" s="88"/>
      <c r="Y21" s="88"/>
      <c r="Z21" s="88"/>
      <c r="AA21" s="88"/>
      <c r="AB21" s="88"/>
      <c r="AC21" s="88"/>
      <c r="AD21" s="88"/>
      <c r="AE21" s="88"/>
      <c r="AF21" s="88"/>
      <c r="AG21" s="88"/>
      <c r="AH21" s="88"/>
      <c r="AI21" s="88"/>
      <c r="AJ21" s="88"/>
      <c r="AK21" s="13"/>
      <c r="AL21" s="8"/>
      <c r="AM21" s="10"/>
      <c r="AN21" s="10"/>
      <c r="AO21" s="11"/>
      <c r="AP21" s="11"/>
      <c r="AQ21" s="11"/>
      <c r="AR21" s="11"/>
      <c r="AS21" s="11"/>
      <c r="AT21" s="11"/>
    </row>
    <row r="22" spans="1:46" ht="13.5" customHeight="1" x14ac:dyDescent="0.15">
      <c r="A22" s="9"/>
      <c r="B22" s="88"/>
      <c r="C22" s="88"/>
      <c r="D22" s="88"/>
      <c r="E22" s="88"/>
      <c r="F22" s="88"/>
      <c r="G22" s="88"/>
      <c r="H22" s="88"/>
      <c r="I22" s="88"/>
      <c r="J22" s="88"/>
      <c r="K22" s="88"/>
      <c r="L22" s="88"/>
      <c r="M22" s="88"/>
      <c r="N22" s="88"/>
      <c r="O22" s="88"/>
      <c r="P22" s="88"/>
      <c r="Q22" s="88"/>
      <c r="R22" s="88"/>
      <c r="S22" s="88"/>
      <c r="T22" s="88"/>
      <c r="U22" s="88"/>
      <c r="V22" s="88"/>
      <c r="W22" s="88"/>
      <c r="X22" s="88"/>
      <c r="Y22" s="88"/>
      <c r="Z22" s="88"/>
      <c r="AA22" s="88"/>
      <c r="AB22" s="88"/>
      <c r="AC22" s="88"/>
      <c r="AD22" s="88"/>
      <c r="AE22" s="88"/>
      <c r="AF22" s="88"/>
      <c r="AG22" s="88"/>
      <c r="AH22" s="88"/>
      <c r="AI22" s="88"/>
      <c r="AJ22" s="88"/>
      <c r="AK22" s="13"/>
      <c r="AL22" s="8"/>
      <c r="AM22" s="10"/>
      <c r="AN22" s="10"/>
      <c r="AO22" s="11"/>
      <c r="AP22" s="11"/>
      <c r="AQ22" s="11"/>
      <c r="AR22" s="11"/>
      <c r="AS22" s="11"/>
      <c r="AT22" s="11"/>
    </row>
    <row r="23" spans="1:46" ht="13.5" customHeight="1" x14ac:dyDescent="0.15">
      <c r="A23" s="9"/>
      <c r="B23" s="88"/>
      <c r="C23" s="88"/>
      <c r="D23" s="88"/>
      <c r="E23" s="88"/>
      <c r="F23" s="88"/>
      <c r="G23" s="88"/>
      <c r="H23" s="88"/>
      <c r="I23" s="88"/>
      <c r="J23" s="88"/>
      <c r="K23" s="88"/>
      <c r="L23" s="88"/>
      <c r="M23" s="88"/>
      <c r="N23" s="88"/>
      <c r="O23" s="88"/>
      <c r="P23" s="88"/>
      <c r="Q23" s="88"/>
      <c r="R23" s="88"/>
      <c r="S23" s="88"/>
      <c r="T23" s="88"/>
      <c r="U23" s="88"/>
      <c r="V23" s="88"/>
      <c r="W23" s="88"/>
      <c r="X23" s="88"/>
      <c r="Y23" s="88"/>
      <c r="Z23" s="88"/>
      <c r="AA23" s="88"/>
      <c r="AB23" s="88"/>
      <c r="AC23" s="88"/>
      <c r="AD23" s="88"/>
      <c r="AE23" s="88"/>
      <c r="AF23" s="88"/>
      <c r="AG23" s="88"/>
      <c r="AH23" s="88"/>
      <c r="AI23" s="88"/>
      <c r="AJ23" s="88"/>
      <c r="AK23" s="13"/>
      <c r="AL23" s="8"/>
      <c r="AM23" s="10"/>
      <c r="AN23" s="10"/>
      <c r="AO23" s="11"/>
      <c r="AP23" s="11"/>
      <c r="AQ23" s="11"/>
      <c r="AR23" s="11"/>
      <c r="AS23" s="11"/>
      <c r="AT23" s="11"/>
    </row>
    <row r="24" spans="1:46" ht="13.5" customHeight="1" x14ac:dyDescent="0.15">
      <c r="A24" s="9"/>
      <c r="B24" s="88"/>
      <c r="C24" s="88"/>
      <c r="D24" s="88"/>
      <c r="E24" s="88"/>
      <c r="F24" s="88"/>
      <c r="G24" s="88"/>
      <c r="H24" s="88"/>
      <c r="I24" s="88"/>
      <c r="J24" s="88"/>
      <c r="K24" s="88"/>
      <c r="L24" s="88"/>
      <c r="M24" s="88"/>
      <c r="N24" s="88"/>
      <c r="O24" s="88"/>
      <c r="P24" s="88"/>
      <c r="Q24" s="88"/>
      <c r="R24" s="88"/>
      <c r="S24" s="88"/>
      <c r="T24" s="88"/>
      <c r="U24" s="88"/>
      <c r="V24" s="88"/>
      <c r="W24" s="88"/>
      <c r="X24" s="88"/>
      <c r="Y24" s="88"/>
      <c r="Z24" s="88"/>
      <c r="AA24" s="88"/>
      <c r="AB24" s="88"/>
      <c r="AC24" s="88"/>
      <c r="AD24" s="88"/>
      <c r="AE24" s="88"/>
      <c r="AF24" s="88"/>
      <c r="AG24" s="88"/>
      <c r="AH24" s="88"/>
      <c r="AI24" s="88"/>
      <c r="AJ24" s="88"/>
      <c r="AK24" s="13"/>
      <c r="AL24" s="8"/>
      <c r="AM24" s="10"/>
      <c r="AN24" s="10"/>
      <c r="AO24" s="11"/>
      <c r="AP24" s="11"/>
      <c r="AQ24" s="11"/>
      <c r="AR24" s="11"/>
      <c r="AS24" s="11"/>
      <c r="AT24" s="11"/>
    </row>
    <row r="25" spans="1:46" ht="13.5" customHeight="1" x14ac:dyDescent="0.15">
      <c r="A25" s="9"/>
      <c r="B25" s="88"/>
      <c r="C25" s="88"/>
      <c r="D25" s="88"/>
      <c r="E25" s="88"/>
      <c r="F25" s="88"/>
      <c r="G25" s="88"/>
      <c r="H25" s="88"/>
      <c r="I25" s="88"/>
      <c r="J25" s="88"/>
      <c r="K25" s="88"/>
      <c r="L25" s="88"/>
      <c r="M25" s="88"/>
      <c r="N25" s="88"/>
      <c r="O25" s="88"/>
      <c r="P25" s="88"/>
      <c r="Q25" s="88"/>
      <c r="R25" s="88"/>
      <c r="S25" s="88"/>
      <c r="T25" s="88"/>
      <c r="U25" s="88"/>
      <c r="V25" s="88"/>
      <c r="W25" s="88"/>
      <c r="X25" s="88"/>
      <c r="Y25" s="88"/>
      <c r="Z25" s="88"/>
      <c r="AA25" s="88"/>
      <c r="AB25" s="88"/>
      <c r="AC25" s="88"/>
      <c r="AD25" s="88"/>
      <c r="AE25" s="88"/>
      <c r="AF25" s="88"/>
      <c r="AG25" s="88"/>
      <c r="AH25" s="88"/>
      <c r="AI25" s="88"/>
      <c r="AJ25" s="88"/>
      <c r="AK25" s="13"/>
      <c r="AL25" s="8"/>
      <c r="AM25" s="10"/>
      <c r="AN25" s="10"/>
      <c r="AO25" s="11"/>
      <c r="AP25" s="11"/>
      <c r="AQ25" s="11"/>
      <c r="AR25" s="11"/>
      <c r="AS25" s="11"/>
      <c r="AT25" s="11"/>
    </row>
    <row r="26" spans="1:46" ht="13.5" customHeight="1" x14ac:dyDescent="0.15">
      <c r="A26" s="9"/>
      <c r="B26" s="88"/>
      <c r="C26" s="88"/>
      <c r="D26" s="88"/>
      <c r="E26" s="88"/>
      <c r="F26" s="88"/>
      <c r="G26" s="88"/>
      <c r="H26" s="88"/>
      <c r="I26" s="88"/>
      <c r="J26" s="88"/>
      <c r="K26" s="88"/>
      <c r="L26" s="88"/>
      <c r="M26" s="88"/>
      <c r="N26" s="88"/>
      <c r="O26" s="88"/>
      <c r="P26" s="88"/>
      <c r="Q26" s="88"/>
      <c r="R26" s="88"/>
      <c r="S26" s="88"/>
      <c r="T26" s="88"/>
      <c r="U26" s="88"/>
      <c r="V26" s="88"/>
      <c r="W26" s="88"/>
      <c r="X26" s="88"/>
      <c r="Y26" s="88"/>
      <c r="Z26" s="88"/>
      <c r="AA26" s="88"/>
      <c r="AB26" s="88"/>
      <c r="AC26" s="88"/>
      <c r="AD26" s="88"/>
      <c r="AE26" s="88"/>
      <c r="AF26" s="88"/>
      <c r="AG26" s="88"/>
      <c r="AH26" s="88"/>
      <c r="AI26" s="88"/>
      <c r="AJ26" s="88"/>
      <c r="AK26" s="13"/>
      <c r="AL26" s="8"/>
      <c r="AM26" s="10"/>
      <c r="AN26" s="10"/>
      <c r="AO26" s="11"/>
      <c r="AP26" s="11"/>
      <c r="AQ26" s="11"/>
      <c r="AR26" s="11"/>
      <c r="AS26" s="11"/>
      <c r="AT26" s="11"/>
    </row>
    <row r="27" spans="1:46" ht="13.5" customHeight="1" x14ac:dyDescent="0.15">
      <c r="A27" s="9"/>
      <c r="B27" s="88"/>
      <c r="C27" s="88"/>
      <c r="D27" s="88"/>
      <c r="E27" s="88"/>
      <c r="F27" s="88"/>
      <c r="G27" s="88"/>
      <c r="H27" s="88"/>
      <c r="I27" s="88"/>
      <c r="J27" s="88"/>
      <c r="K27" s="88"/>
      <c r="L27" s="88"/>
      <c r="M27" s="88"/>
      <c r="N27" s="88"/>
      <c r="O27" s="88"/>
      <c r="P27" s="88"/>
      <c r="Q27" s="88"/>
      <c r="R27" s="88"/>
      <c r="S27" s="88"/>
      <c r="T27" s="88"/>
      <c r="U27" s="88"/>
      <c r="V27" s="88"/>
      <c r="W27" s="88"/>
      <c r="X27" s="88"/>
      <c r="Y27" s="88"/>
      <c r="Z27" s="88"/>
      <c r="AA27" s="88"/>
      <c r="AB27" s="88"/>
      <c r="AC27" s="88"/>
      <c r="AD27" s="88"/>
      <c r="AE27" s="88"/>
      <c r="AF27" s="88"/>
      <c r="AG27" s="88"/>
      <c r="AH27" s="88"/>
      <c r="AI27" s="88"/>
      <c r="AJ27" s="88"/>
      <c r="AK27" s="13"/>
      <c r="AL27" s="8"/>
      <c r="AM27" s="10"/>
      <c r="AN27" s="10"/>
      <c r="AO27" s="11"/>
      <c r="AP27" s="11"/>
      <c r="AQ27" s="11"/>
      <c r="AR27" s="11"/>
      <c r="AS27" s="11"/>
      <c r="AT27" s="11"/>
    </row>
    <row r="28" spans="1:46" ht="13.5" customHeight="1" x14ac:dyDescent="0.15">
      <c r="A28" s="9"/>
      <c r="B28" s="88"/>
      <c r="C28" s="88"/>
      <c r="D28" s="88"/>
      <c r="E28" s="88"/>
      <c r="F28" s="88"/>
      <c r="G28" s="88"/>
      <c r="H28" s="88"/>
      <c r="I28" s="88"/>
      <c r="J28" s="88"/>
      <c r="K28" s="88"/>
      <c r="L28" s="88"/>
      <c r="M28" s="88"/>
      <c r="N28" s="88"/>
      <c r="O28" s="88"/>
      <c r="P28" s="88"/>
      <c r="Q28" s="88"/>
      <c r="R28" s="88"/>
      <c r="S28" s="88"/>
      <c r="T28" s="88"/>
      <c r="U28" s="88"/>
      <c r="V28" s="88"/>
      <c r="W28" s="88"/>
      <c r="X28" s="88"/>
      <c r="Y28" s="88"/>
      <c r="Z28" s="88"/>
      <c r="AA28" s="88"/>
      <c r="AB28" s="88"/>
      <c r="AC28" s="88"/>
      <c r="AD28" s="88"/>
      <c r="AE28" s="88"/>
      <c r="AF28" s="88"/>
      <c r="AG28" s="88"/>
      <c r="AH28" s="88"/>
      <c r="AI28" s="88"/>
      <c r="AJ28" s="88"/>
      <c r="AK28" s="13"/>
      <c r="AL28" s="8"/>
      <c r="AM28" s="10"/>
      <c r="AN28" s="10"/>
      <c r="AO28" s="11"/>
      <c r="AP28" s="11"/>
      <c r="AQ28" s="11"/>
      <c r="AR28" s="11"/>
      <c r="AS28" s="11"/>
      <c r="AT28" s="11"/>
    </row>
    <row r="29" spans="1:46" ht="13.5" customHeight="1" x14ac:dyDescent="0.15">
      <c r="A29" s="9"/>
      <c r="B29" s="88"/>
      <c r="C29" s="88"/>
      <c r="D29" s="88"/>
      <c r="E29" s="88"/>
      <c r="F29" s="88"/>
      <c r="G29" s="88"/>
      <c r="H29" s="88"/>
      <c r="I29" s="88"/>
      <c r="J29" s="88"/>
      <c r="K29" s="88"/>
      <c r="L29" s="88"/>
      <c r="M29" s="88"/>
      <c r="N29" s="88"/>
      <c r="O29" s="88"/>
      <c r="P29" s="88"/>
      <c r="Q29" s="88"/>
      <c r="R29" s="88"/>
      <c r="S29" s="88"/>
      <c r="T29" s="88"/>
      <c r="U29" s="88"/>
      <c r="V29" s="88"/>
      <c r="W29" s="88"/>
      <c r="X29" s="88"/>
      <c r="Y29" s="88"/>
      <c r="Z29" s="88"/>
      <c r="AA29" s="88"/>
      <c r="AB29" s="88"/>
      <c r="AC29" s="88"/>
      <c r="AD29" s="88"/>
      <c r="AE29" s="88"/>
      <c r="AF29" s="88"/>
      <c r="AG29" s="88"/>
      <c r="AH29" s="88"/>
      <c r="AI29" s="88"/>
      <c r="AJ29" s="88"/>
      <c r="AK29" s="13"/>
      <c r="AL29" s="8"/>
      <c r="AM29" s="10"/>
      <c r="AN29" s="10"/>
      <c r="AO29" s="11"/>
      <c r="AP29" s="11"/>
      <c r="AQ29" s="11"/>
      <c r="AR29" s="11"/>
      <c r="AS29" s="11"/>
      <c r="AT29" s="11"/>
    </row>
    <row r="30" spans="1:46" ht="13.5" customHeight="1" x14ac:dyDescent="0.15">
      <c r="A30" s="9"/>
      <c r="B30" s="88"/>
      <c r="C30" s="88"/>
      <c r="D30" s="88"/>
      <c r="E30" s="88"/>
      <c r="F30" s="88"/>
      <c r="G30" s="88"/>
      <c r="H30" s="88"/>
      <c r="I30" s="88"/>
      <c r="J30" s="88"/>
      <c r="K30" s="88"/>
      <c r="L30" s="88"/>
      <c r="M30" s="88"/>
      <c r="N30" s="88"/>
      <c r="O30" s="88"/>
      <c r="P30" s="88"/>
      <c r="Q30" s="88"/>
      <c r="R30" s="88"/>
      <c r="S30" s="88"/>
      <c r="T30" s="88"/>
      <c r="U30" s="88"/>
      <c r="V30" s="88"/>
      <c r="W30" s="88"/>
      <c r="X30" s="88"/>
      <c r="Y30" s="88"/>
      <c r="Z30" s="88"/>
      <c r="AA30" s="88"/>
      <c r="AB30" s="88"/>
      <c r="AC30" s="88"/>
      <c r="AD30" s="88"/>
      <c r="AE30" s="88"/>
      <c r="AF30" s="88"/>
      <c r="AG30" s="88"/>
      <c r="AH30" s="88"/>
      <c r="AI30" s="88"/>
      <c r="AJ30" s="88"/>
      <c r="AK30" s="13"/>
      <c r="AL30" s="8"/>
      <c r="AM30" s="10"/>
      <c r="AN30" s="10"/>
      <c r="AO30" s="11"/>
      <c r="AP30" s="11"/>
      <c r="AQ30" s="11"/>
      <c r="AR30" s="11"/>
      <c r="AS30" s="11"/>
      <c r="AT30" s="11"/>
    </row>
    <row r="31" spans="1:46" ht="13.5" customHeight="1" x14ac:dyDescent="0.15">
      <c r="A31" s="9"/>
      <c r="B31" s="88"/>
      <c r="C31" s="88"/>
      <c r="D31" s="88"/>
      <c r="E31" s="88"/>
      <c r="F31" s="88"/>
      <c r="G31" s="88"/>
      <c r="H31" s="88"/>
      <c r="I31" s="88"/>
      <c r="J31" s="88"/>
      <c r="K31" s="88"/>
      <c r="L31" s="88"/>
      <c r="M31" s="88"/>
      <c r="N31" s="88"/>
      <c r="O31" s="88"/>
      <c r="P31" s="88"/>
      <c r="Q31" s="88"/>
      <c r="R31" s="88"/>
      <c r="S31" s="88"/>
      <c r="T31" s="88"/>
      <c r="U31" s="88"/>
      <c r="V31" s="88"/>
      <c r="W31" s="88"/>
      <c r="X31" s="88"/>
      <c r="Y31" s="88"/>
      <c r="Z31" s="88"/>
      <c r="AA31" s="88"/>
      <c r="AB31" s="88"/>
      <c r="AC31" s="88"/>
      <c r="AD31" s="88"/>
      <c r="AE31" s="88"/>
      <c r="AF31" s="88"/>
      <c r="AG31" s="88"/>
      <c r="AH31" s="88"/>
      <c r="AI31" s="88"/>
      <c r="AJ31" s="88"/>
      <c r="AK31" s="13"/>
      <c r="AL31" s="8"/>
      <c r="AM31" s="10"/>
      <c r="AN31" s="11"/>
      <c r="AO31" s="11"/>
      <c r="AP31" s="11"/>
      <c r="AQ31" s="11"/>
      <c r="AR31" s="11"/>
      <c r="AS31" s="11"/>
      <c r="AT31" s="11"/>
    </row>
    <row r="32" spans="1:46" ht="13.5" customHeight="1" x14ac:dyDescent="0.15">
      <c r="A32" s="9"/>
      <c r="B32" s="88"/>
      <c r="C32" s="88"/>
      <c r="D32" s="88"/>
      <c r="E32" s="88"/>
      <c r="F32" s="88"/>
      <c r="G32" s="88"/>
      <c r="H32" s="88"/>
      <c r="I32" s="88"/>
      <c r="J32" s="88"/>
      <c r="K32" s="88"/>
      <c r="L32" s="88"/>
      <c r="M32" s="88"/>
      <c r="N32" s="88"/>
      <c r="O32" s="88"/>
      <c r="P32" s="88"/>
      <c r="Q32" s="88"/>
      <c r="R32" s="88"/>
      <c r="S32" s="88"/>
      <c r="T32" s="88"/>
      <c r="U32" s="88"/>
      <c r="V32" s="88"/>
      <c r="W32" s="88"/>
      <c r="X32" s="88"/>
      <c r="Y32" s="88"/>
      <c r="Z32" s="88"/>
      <c r="AA32" s="88"/>
      <c r="AB32" s="88"/>
      <c r="AC32" s="88"/>
      <c r="AD32" s="88"/>
      <c r="AE32" s="88"/>
      <c r="AF32" s="88"/>
      <c r="AG32" s="88"/>
      <c r="AH32" s="88"/>
      <c r="AI32" s="88"/>
      <c r="AJ32" s="88"/>
      <c r="AK32" s="13"/>
      <c r="AL32" s="8"/>
      <c r="AM32" s="10"/>
      <c r="AN32" s="11"/>
      <c r="AO32" s="11"/>
      <c r="AP32" s="11"/>
      <c r="AQ32" s="11"/>
      <c r="AR32" s="11"/>
      <c r="AS32" s="11"/>
      <c r="AT32" s="11"/>
    </row>
    <row r="33" spans="1:46" ht="13.5" customHeight="1" x14ac:dyDescent="0.15">
      <c r="A33" s="9"/>
      <c r="B33" s="88"/>
      <c r="C33" s="88"/>
      <c r="D33" s="88"/>
      <c r="E33" s="88"/>
      <c r="F33" s="88"/>
      <c r="G33" s="88"/>
      <c r="H33" s="88"/>
      <c r="I33" s="88"/>
      <c r="J33" s="88"/>
      <c r="K33" s="88"/>
      <c r="L33" s="88"/>
      <c r="M33" s="88"/>
      <c r="N33" s="88"/>
      <c r="O33" s="88"/>
      <c r="P33" s="88"/>
      <c r="Q33" s="88"/>
      <c r="R33" s="88"/>
      <c r="S33" s="88"/>
      <c r="T33" s="88"/>
      <c r="U33" s="88"/>
      <c r="V33" s="88"/>
      <c r="W33" s="88"/>
      <c r="X33" s="88"/>
      <c r="Y33" s="88"/>
      <c r="Z33" s="88"/>
      <c r="AA33" s="88"/>
      <c r="AB33" s="88"/>
      <c r="AC33" s="88"/>
      <c r="AD33" s="88"/>
      <c r="AE33" s="88"/>
      <c r="AF33" s="88"/>
      <c r="AG33" s="88"/>
      <c r="AH33" s="88"/>
      <c r="AI33" s="88"/>
      <c r="AJ33" s="88"/>
      <c r="AK33" s="13"/>
      <c r="AL33" s="8"/>
      <c r="AM33" s="10"/>
      <c r="AN33" s="11"/>
      <c r="AO33" s="11"/>
      <c r="AP33" s="11"/>
      <c r="AQ33" s="11"/>
      <c r="AR33" s="11"/>
      <c r="AS33" s="11"/>
      <c r="AT33" s="11"/>
    </row>
    <row r="34" spans="1:46" ht="13.5" customHeight="1" x14ac:dyDescent="0.15">
      <c r="A34" s="9"/>
      <c r="B34" s="88"/>
      <c r="C34" s="88"/>
      <c r="D34" s="88"/>
      <c r="E34" s="88"/>
      <c r="F34" s="88"/>
      <c r="G34" s="88"/>
      <c r="H34" s="88"/>
      <c r="I34" s="88"/>
      <c r="J34" s="88"/>
      <c r="K34" s="88"/>
      <c r="L34" s="88"/>
      <c r="M34" s="88"/>
      <c r="N34" s="88"/>
      <c r="O34" s="88"/>
      <c r="P34" s="88"/>
      <c r="Q34" s="88"/>
      <c r="R34" s="88"/>
      <c r="S34" s="88"/>
      <c r="T34" s="88"/>
      <c r="U34" s="88"/>
      <c r="V34" s="88"/>
      <c r="W34" s="88"/>
      <c r="X34" s="88"/>
      <c r="Y34" s="88"/>
      <c r="Z34" s="88"/>
      <c r="AA34" s="88"/>
      <c r="AB34" s="88"/>
      <c r="AC34" s="88"/>
      <c r="AD34" s="88"/>
      <c r="AE34" s="88"/>
      <c r="AF34" s="88"/>
      <c r="AG34" s="88"/>
      <c r="AH34" s="88"/>
      <c r="AI34" s="88"/>
      <c r="AJ34" s="88"/>
      <c r="AK34" s="13"/>
      <c r="AL34" s="8"/>
      <c r="AM34" s="10"/>
      <c r="AN34" s="11"/>
      <c r="AO34" s="11"/>
      <c r="AP34" s="11"/>
      <c r="AQ34" s="11"/>
      <c r="AR34" s="11"/>
      <c r="AS34" s="11"/>
      <c r="AT34" s="11"/>
    </row>
    <row r="35" spans="1:46" ht="13.5" customHeight="1" x14ac:dyDescent="0.15">
      <c r="A35" s="9"/>
      <c r="B35" s="88"/>
      <c r="C35" s="88"/>
      <c r="D35" s="88"/>
      <c r="E35" s="88"/>
      <c r="F35" s="88"/>
      <c r="G35" s="88"/>
      <c r="H35" s="88"/>
      <c r="I35" s="88"/>
      <c r="J35" s="88"/>
      <c r="K35" s="88"/>
      <c r="L35" s="88"/>
      <c r="M35" s="88"/>
      <c r="N35" s="88"/>
      <c r="O35" s="88"/>
      <c r="P35" s="88"/>
      <c r="Q35" s="88"/>
      <c r="R35" s="88"/>
      <c r="S35" s="88"/>
      <c r="T35" s="88"/>
      <c r="U35" s="88"/>
      <c r="V35" s="88"/>
      <c r="W35" s="88"/>
      <c r="X35" s="88"/>
      <c r="Y35" s="88"/>
      <c r="Z35" s="88"/>
      <c r="AA35" s="88"/>
      <c r="AB35" s="88"/>
      <c r="AC35" s="88"/>
      <c r="AD35" s="88"/>
      <c r="AE35" s="88"/>
      <c r="AF35" s="88"/>
      <c r="AG35" s="88"/>
      <c r="AH35" s="88"/>
      <c r="AI35" s="88"/>
      <c r="AJ35" s="88"/>
      <c r="AK35" s="13"/>
      <c r="AL35" s="8"/>
      <c r="AM35" s="10"/>
      <c r="AN35" s="11"/>
      <c r="AO35" s="11"/>
      <c r="AP35" s="11"/>
      <c r="AQ35" s="11"/>
      <c r="AR35" s="11"/>
      <c r="AS35" s="11"/>
      <c r="AT35" s="11"/>
    </row>
    <row r="36" spans="1:46" ht="13.5" customHeight="1" x14ac:dyDescent="0.15">
      <c r="A36" s="9"/>
      <c r="B36" s="88"/>
      <c r="C36" s="88"/>
      <c r="D36" s="88"/>
      <c r="E36" s="88"/>
      <c r="F36" s="88"/>
      <c r="G36" s="88"/>
      <c r="H36" s="88"/>
      <c r="I36" s="88"/>
      <c r="J36" s="88"/>
      <c r="K36" s="88"/>
      <c r="L36" s="88"/>
      <c r="M36" s="88"/>
      <c r="N36" s="88"/>
      <c r="O36" s="88"/>
      <c r="P36" s="88"/>
      <c r="Q36" s="88"/>
      <c r="R36" s="88"/>
      <c r="S36" s="88"/>
      <c r="T36" s="88"/>
      <c r="U36" s="88"/>
      <c r="V36" s="88"/>
      <c r="W36" s="88"/>
      <c r="X36" s="88"/>
      <c r="Y36" s="88"/>
      <c r="Z36" s="88"/>
      <c r="AA36" s="88"/>
      <c r="AB36" s="88"/>
      <c r="AC36" s="88"/>
      <c r="AD36" s="88"/>
      <c r="AE36" s="88"/>
      <c r="AF36" s="88"/>
      <c r="AG36" s="88"/>
      <c r="AH36" s="88"/>
      <c r="AI36" s="88"/>
      <c r="AJ36" s="88"/>
      <c r="AK36" s="13"/>
      <c r="AL36" s="8"/>
      <c r="AM36" s="8"/>
    </row>
    <row r="37" spans="1:46" ht="13.5" customHeight="1" x14ac:dyDescent="0.15">
      <c r="A37" s="9"/>
      <c r="B37" s="88"/>
      <c r="C37" s="88"/>
      <c r="D37" s="88"/>
      <c r="E37" s="88"/>
      <c r="F37" s="88"/>
      <c r="G37" s="88"/>
      <c r="H37" s="88"/>
      <c r="I37" s="88"/>
      <c r="J37" s="88"/>
      <c r="K37" s="88"/>
      <c r="L37" s="88"/>
      <c r="M37" s="88"/>
      <c r="N37" s="88"/>
      <c r="O37" s="88"/>
      <c r="P37" s="88"/>
      <c r="Q37" s="88"/>
      <c r="R37" s="88"/>
      <c r="S37" s="88"/>
      <c r="T37" s="88"/>
      <c r="U37" s="88"/>
      <c r="V37" s="88"/>
      <c r="W37" s="88"/>
      <c r="X37" s="88"/>
      <c r="Y37" s="88"/>
      <c r="Z37" s="88"/>
      <c r="AA37" s="88"/>
      <c r="AB37" s="88"/>
      <c r="AC37" s="88"/>
      <c r="AD37" s="88"/>
      <c r="AE37" s="88"/>
      <c r="AF37" s="88"/>
      <c r="AG37" s="88"/>
      <c r="AH37" s="88"/>
      <c r="AI37" s="88"/>
      <c r="AJ37" s="88"/>
      <c r="AK37" s="13"/>
      <c r="AL37" s="8"/>
      <c r="AM37" s="8"/>
    </row>
    <row r="38" spans="1:46" ht="13.5" customHeight="1" x14ac:dyDescent="0.15">
      <c r="A38" s="9"/>
      <c r="B38" s="88"/>
      <c r="C38" s="88"/>
      <c r="D38" s="88"/>
      <c r="E38" s="88"/>
      <c r="F38" s="88"/>
      <c r="G38" s="88"/>
      <c r="H38" s="88"/>
      <c r="I38" s="88"/>
      <c r="J38" s="88"/>
      <c r="K38" s="88"/>
      <c r="L38" s="88"/>
      <c r="M38" s="88"/>
      <c r="N38" s="88"/>
      <c r="O38" s="88"/>
      <c r="P38" s="88"/>
      <c r="Q38" s="88"/>
      <c r="R38" s="88"/>
      <c r="S38" s="88"/>
      <c r="T38" s="88"/>
      <c r="U38" s="88"/>
      <c r="V38" s="88"/>
      <c r="W38" s="88"/>
      <c r="X38" s="88"/>
      <c r="Y38" s="88"/>
      <c r="Z38" s="88"/>
      <c r="AA38" s="88"/>
      <c r="AB38" s="88"/>
      <c r="AC38" s="88"/>
      <c r="AD38" s="88"/>
      <c r="AE38" s="88"/>
      <c r="AF38" s="88"/>
      <c r="AG38" s="88"/>
      <c r="AH38" s="88"/>
      <c r="AI38" s="88"/>
      <c r="AJ38" s="88"/>
      <c r="AK38" s="13"/>
      <c r="AL38" s="8"/>
      <c r="AM38" s="8"/>
    </row>
    <row r="39" spans="1:46" ht="13.5" customHeight="1" x14ac:dyDescent="0.15">
      <c r="A39" s="9"/>
      <c r="B39" s="88"/>
      <c r="C39" s="88"/>
      <c r="D39" s="88"/>
      <c r="E39" s="88"/>
      <c r="F39" s="88"/>
      <c r="G39" s="88"/>
      <c r="H39" s="88"/>
      <c r="I39" s="88"/>
      <c r="J39" s="88"/>
      <c r="K39" s="88"/>
      <c r="L39" s="88"/>
      <c r="M39" s="88"/>
      <c r="N39" s="88"/>
      <c r="O39" s="88"/>
      <c r="P39" s="88"/>
      <c r="Q39" s="88"/>
      <c r="R39" s="88"/>
      <c r="S39" s="88"/>
      <c r="T39" s="88"/>
      <c r="U39" s="88"/>
      <c r="V39" s="88"/>
      <c r="W39" s="88"/>
      <c r="X39" s="88"/>
      <c r="Y39" s="88"/>
      <c r="Z39" s="88"/>
      <c r="AA39" s="88"/>
      <c r="AB39" s="88"/>
      <c r="AC39" s="88"/>
      <c r="AD39" s="88"/>
      <c r="AE39" s="88"/>
      <c r="AF39" s="88"/>
      <c r="AG39" s="88"/>
      <c r="AH39" s="88"/>
      <c r="AI39" s="88"/>
      <c r="AJ39" s="88"/>
      <c r="AK39" s="13"/>
      <c r="AL39" s="8"/>
      <c r="AM39" s="8"/>
    </row>
    <row r="40" spans="1:46" ht="13.5" customHeight="1" x14ac:dyDescent="0.15">
      <c r="A40" s="9"/>
      <c r="B40" s="88"/>
      <c r="C40" s="88"/>
      <c r="D40" s="88"/>
      <c r="E40" s="88"/>
      <c r="F40" s="88"/>
      <c r="G40" s="88"/>
      <c r="H40" s="88"/>
      <c r="I40" s="88"/>
      <c r="J40" s="88"/>
      <c r="K40" s="88"/>
      <c r="L40" s="88"/>
      <c r="M40" s="88"/>
      <c r="N40" s="88"/>
      <c r="O40" s="88"/>
      <c r="P40" s="88"/>
      <c r="Q40" s="88"/>
      <c r="R40" s="88"/>
      <c r="S40" s="88"/>
      <c r="T40" s="88"/>
      <c r="U40" s="88"/>
      <c r="V40" s="88"/>
      <c r="W40" s="88"/>
      <c r="X40" s="88"/>
      <c r="Y40" s="88"/>
      <c r="Z40" s="88"/>
      <c r="AA40" s="88"/>
      <c r="AB40" s="88"/>
      <c r="AC40" s="88"/>
      <c r="AD40" s="88"/>
      <c r="AE40" s="88"/>
      <c r="AF40" s="88"/>
      <c r="AG40" s="88"/>
      <c r="AH40" s="88"/>
      <c r="AI40" s="88"/>
      <c r="AJ40" s="88"/>
      <c r="AK40" s="13"/>
      <c r="AL40" s="8"/>
      <c r="AM40" s="8"/>
    </row>
    <row r="41" spans="1:46" ht="13.5" customHeight="1" x14ac:dyDescent="0.15">
      <c r="A41" s="9"/>
      <c r="B41" s="88"/>
      <c r="C41" s="88"/>
      <c r="D41" s="88"/>
      <c r="E41" s="88"/>
      <c r="F41" s="88"/>
      <c r="G41" s="88"/>
      <c r="H41" s="88"/>
      <c r="I41" s="88"/>
      <c r="J41" s="88"/>
      <c r="K41" s="88"/>
      <c r="L41" s="88"/>
      <c r="M41" s="88"/>
      <c r="N41" s="88"/>
      <c r="O41" s="88"/>
      <c r="P41" s="88"/>
      <c r="Q41" s="88"/>
      <c r="R41" s="88"/>
      <c r="S41" s="88"/>
      <c r="T41" s="88"/>
      <c r="U41" s="88"/>
      <c r="V41" s="88"/>
      <c r="W41" s="88"/>
      <c r="X41" s="88"/>
      <c r="Y41" s="88"/>
      <c r="Z41" s="88"/>
      <c r="AA41" s="88"/>
      <c r="AB41" s="88"/>
      <c r="AC41" s="88"/>
      <c r="AD41" s="88"/>
      <c r="AE41" s="88"/>
      <c r="AF41" s="88"/>
      <c r="AG41" s="88"/>
      <c r="AH41" s="88"/>
      <c r="AI41" s="88"/>
      <c r="AJ41" s="88"/>
      <c r="AK41" s="13"/>
      <c r="AL41" s="8"/>
      <c r="AM41" s="8"/>
    </row>
    <row r="42" spans="1:46" ht="13.5" customHeight="1" x14ac:dyDescent="0.15">
      <c r="A42" s="9"/>
      <c r="B42" s="88"/>
      <c r="C42" s="88"/>
      <c r="D42" s="88"/>
      <c r="E42" s="88"/>
      <c r="F42" s="88"/>
      <c r="G42" s="88"/>
      <c r="H42" s="88"/>
      <c r="I42" s="88"/>
      <c r="J42" s="88"/>
      <c r="K42" s="88"/>
      <c r="L42" s="88"/>
      <c r="M42" s="88"/>
      <c r="N42" s="88"/>
      <c r="O42" s="88"/>
      <c r="P42" s="88"/>
      <c r="Q42" s="88"/>
      <c r="R42" s="88"/>
      <c r="S42" s="88"/>
      <c r="T42" s="88"/>
      <c r="U42" s="88"/>
      <c r="V42" s="88"/>
      <c r="W42" s="88"/>
      <c r="X42" s="88"/>
      <c r="Y42" s="88"/>
      <c r="Z42" s="88"/>
      <c r="AA42" s="88"/>
      <c r="AB42" s="88"/>
      <c r="AC42" s="88"/>
      <c r="AD42" s="88"/>
      <c r="AE42" s="88"/>
      <c r="AF42" s="88"/>
      <c r="AG42" s="88"/>
      <c r="AH42" s="88"/>
      <c r="AI42" s="88"/>
      <c r="AJ42" s="88"/>
      <c r="AK42" s="13"/>
      <c r="AL42" s="8"/>
      <c r="AM42" s="8"/>
    </row>
    <row r="43" spans="1:46" ht="13.5" customHeight="1" x14ac:dyDescent="0.15">
      <c r="A43" s="9"/>
      <c r="B43" s="88"/>
      <c r="C43" s="88"/>
      <c r="D43" s="88"/>
      <c r="E43" s="88"/>
      <c r="F43" s="88"/>
      <c r="G43" s="88"/>
      <c r="H43" s="88"/>
      <c r="I43" s="88"/>
      <c r="J43" s="88"/>
      <c r="K43" s="88"/>
      <c r="L43" s="88"/>
      <c r="M43" s="88"/>
      <c r="N43" s="88"/>
      <c r="O43" s="88"/>
      <c r="P43" s="88"/>
      <c r="Q43" s="88"/>
      <c r="R43" s="88"/>
      <c r="S43" s="88"/>
      <c r="T43" s="88"/>
      <c r="U43" s="88"/>
      <c r="V43" s="88"/>
      <c r="W43" s="88"/>
      <c r="X43" s="88"/>
      <c r="Y43" s="88"/>
      <c r="Z43" s="88"/>
      <c r="AA43" s="88"/>
      <c r="AB43" s="88"/>
      <c r="AC43" s="88"/>
      <c r="AD43" s="88"/>
      <c r="AE43" s="88"/>
      <c r="AF43" s="88"/>
      <c r="AG43" s="88"/>
      <c r="AH43" s="88"/>
      <c r="AI43" s="88"/>
      <c r="AJ43" s="88"/>
      <c r="AK43" s="13"/>
      <c r="AL43" s="8"/>
      <c r="AM43" s="8"/>
    </row>
    <row r="44" spans="1:46" ht="13.5" customHeight="1" x14ac:dyDescent="0.15">
      <c r="A44" s="9"/>
      <c r="B44" s="88"/>
      <c r="C44" s="88"/>
      <c r="D44" s="88"/>
      <c r="E44" s="88"/>
      <c r="F44" s="88"/>
      <c r="G44" s="88"/>
      <c r="H44" s="88"/>
      <c r="I44" s="88"/>
      <c r="J44" s="88"/>
      <c r="K44" s="88"/>
      <c r="L44" s="88"/>
      <c r="M44" s="88"/>
      <c r="N44" s="88"/>
      <c r="O44" s="88"/>
      <c r="P44" s="88"/>
      <c r="Q44" s="88"/>
      <c r="R44" s="88"/>
      <c r="S44" s="88"/>
      <c r="T44" s="88"/>
      <c r="U44" s="88"/>
      <c r="V44" s="88"/>
      <c r="W44" s="88"/>
      <c r="X44" s="88"/>
      <c r="Y44" s="88"/>
      <c r="Z44" s="88"/>
      <c r="AA44" s="88"/>
      <c r="AB44" s="88"/>
      <c r="AC44" s="88"/>
      <c r="AD44" s="88"/>
      <c r="AE44" s="88"/>
      <c r="AF44" s="88"/>
      <c r="AG44" s="88"/>
      <c r="AH44" s="88"/>
      <c r="AI44" s="88"/>
      <c r="AJ44" s="88"/>
      <c r="AK44" s="13"/>
      <c r="AL44" s="8"/>
      <c r="AM44" s="8"/>
    </row>
    <row r="45" spans="1:46" ht="13.5" customHeight="1" x14ac:dyDescent="0.15">
      <c r="A45" s="9"/>
      <c r="B45" s="88"/>
      <c r="C45" s="88"/>
      <c r="D45" s="88"/>
      <c r="E45" s="88"/>
      <c r="F45" s="88"/>
      <c r="G45" s="88"/>
      <c r="H45" s="88"/>
      <c r="I45" s="88"/>
      <c r="J45" s="88"/>
      <c r="K45" s="88"/>
      <c r="L45" s="88"/>
      <c r="M45" s="88"/>
      <c r="N45" s="88"/>
      <c r="O45" s="88"/>
      <c r="P45" s="88"/>
      <c r="Q45" s="88"/>
      <c r="R45" s="88"/>
      <c r="S45" s="88"/>
      <c r="T45" s="88"/>
      <c r="U45" s="88"/>
      <c r="V45" s="88"/>
      <c r="W45" s="88"/>
      <c r="X45" s="88"/>
      <c r="Y45" s="88"/>
      <c r="Z45" s="88"/>
      <c r="AA45" s="88"/>
      <c r="AB45" s="88"/>
      <c r="AC45" s="88"/>
      <c r="AD45" s="88"/>
      <c r="AE45" s="88"/>
      <c r="AF45" s="88"/>
      <c r="AG45" s="88"/>
      <c r="AH45" s="88"/>
      <c r="AI45" s="88"/>
      <c r="AJ45" s="88"/>
      <c r="AK45" s="13"/>
      <c r="AL45" s="8"/>
      <c r="AM45" s="8"/>
    </row>
    <row r="46" spans="1:46" ht="13.5" customHeight="1" x14ac:dyDescent="0.15">
      <c r="A46" s="9"/>
      <c r="B46" s="88"/>
      <c r="C46" s="88"/>
      <c r="D46" s="88"/>
      <c r="E46" s="88"/>
      <c r="F46" s="88"/>
      <c r="G46" s="88"/>
      <c r="H46" s="88"/>
      <c r="I46" s="88"/>
      <c r="J46" s="88"/>
      <c r="K46" s="88"/>
      <c r="L46" s="88"/>
      <c r="M46" s="88"/>
      <c r="N46" s="88"/>
      <c r="O46" s="88"/>
      <c r="P46" s="88"/>
      <c r="Q46" s="88"/>
      <c r="R46" s="88"/>
      <c r="S46" s="88"/>
      <c r="T46" s="88"/>
      <c r="U46" s="88"/>
      <c r="V46" s="88"/>
      <c r="W46" s="88"/>
      <c r="X46" s="88"/>
      <c r="Y46" s="88"/>
      <c r="Z46" s="88"/>
      <c r="AA46" s="88"/>
      <c r="AB46" s="88"/>
      <c r="AC46" s="88"/>
      <c r="AD46" s="88"/>
      <c r="AE46" s="88"/>
      <c r="AF46" s="88"/>
      <c r="AG46" s="88"/>
      <c r="AH46" s="88"/>
      <c r="AI46" s="88"/>
      <c r="AJ46" s="88"/>
      <c r="AK46" s="13"/>
      <c r="AL46" s="8"/>
      <c r="AM46" s="8"/>
      <c r="AR46" s="88"/>
      <c r="AS46" s="88"/>
      <c r="AT46" s="88"/>
    </row>
    <row r="47" spans="1:46" ht="13.5" customHeight="1" x14ac:dyDescent="0.15">
      <c r="A47" s="9"/>
      <c r="B47" s="88"/>
      <c r="C47" s="88"/>
      <c r="D47" s="88"/>
      <c r="E47" s="88"/>
      <c r="F47" s="88"/>
      <c r="G47" s="88"/>
      <c r="H47" s="88"/>
      <c r="I47" s="88"/>
      <c r="J47" s="88"/>
      <c r="K47" s="88"/>
      <c r="L47" s="88"/>
      <c r="M47" s="88"/>
      <c r="N47" s="88"/>
      <c r="O47" s="88"/>
      <c r="P47" s="88"/>
      <c r="Q47" s="88"/>
      <c r="R47" s="88"/>
      <c r="S47" s="88"/>
      <c r="T47" s="88"/>
      <c r="U47" s="88"/>
      <c r="V47" s="88"/>
      <c r="W47" s="88"/>
      <c r="X47" s="88"/>
      <c r="Y47" s="88"/>
      <c r="Z47" s="88"/>
      <c r="AA47" s="88"/>
      <c r="AB47" s="88"/>
      <c r="AC47" s="88"/>
      <c r="AD47" s="88"/>
      <c r="AE47" s="88"/>
      <c r="AF47" s="88"/>
      <c r="AG47" s="88"/>
      <c r="AH47" s="88"/>
      <c r="AI47" s="88"/>
      <c r="AJ47" s="88"/>
      <c r="AK47" s="13"/>
      <c r="AL47" s="8"/>
      <c r="AM47" s="8"/>
      <c r="AR47" s="88"/>
      <c r="AS47" s="88"/>
      <c r="AT47" s="88"/>
    </row>
    <row r="48" spans="1:46" ht="13.5" customHeight="1" x14ac:dyDescent="0.15">
      <c r="A48" s="9"/>
      <c r="B48" s="88"/>
      <c r="C48" s="88"/>
      <c r="D48" s="88"/>
      <c r="E48" s="88"/>
      <c r="F48" s="88"/>
      <c r="G48" s="88"/>
      <c r="H48" s="88"/>
      <c r="I48" s="88"/>
      <c r="J48" s="88"/>
      <c r="K48" s="88"/>
      <c r="L48" s="88"/>
      <c r="M48" s="88"/>
      <c r="N48" s="88"/>
      <c r="O48" s="88"/>
      <c r="P48" s="88"/>
      <c r="Q48" s="88"/>
      <c r="R48" s="88"/>
      <c r="S48" s="88"/>
      <c r="T48" s="88"/>
      <c r="U48" s="88"/>
      <c r="V48" s="88"/>
      <c r="W48" s="88"/>
      <c r="X48" s="88"/>
      <c r="Y48" s="88"/>
      <c r="Z48" s="88"/>
      <c r="AA48" s="88"/>
      <c r="AB48" s="88"/>
      <c r="AC48" s="88"/>
      <c r="AD48" s="88"/>
      <c r="AE48" s="88"/>
      <c r="AF48" s="88"/>
      <c r="AG48" s="88"/>
      <c r="AH48" s="88"/>
      <c r="AI48" s="88"/>
      <c r="AJ48" s="88"/>
      <c r="AK48" s="13"/>
      <c r="AL48" s="8"/>
      <c r="AM48" s="8"/>
      <c r="AR48" s="88"/>
      <c r="AS48" s="88"/>
      <c r="AT48" s="88"/>
    </row>
    <row r="49" spans="1:46" ht="13.5" customHeight="1" x14ac:dyDescent="0.15">
      <c r="A49" s="9"/>
      <c r="B49" s="88"/>
      <c r="C49" s="88"/>
      <c r="D49" s="88"/>
      <c r="E49" s="88"/>
      <c r="F49" s="88"/>
      <c r="G49" s="88"/>
      <c r="H49" s="88"/>
      <c r="I49" s="88"/>
      <c r="J49" s="88"/>
      <c r="K49" s="88"/>
      <c r="L49" s="88"/>
      <c r="M49" s="88"/>
      <c r="N49" s="88"/>
      <c r="O49" s="88"/>
      <c r="P49" s="88"/>
      <c r="Q49" s="88"/>
      <c r="R49" s="88"/>
      <c r="S49" s="88"/>
      <c r="T49" s="88"/>
      <c r="U49" s="88"/>
      <c r="V49" s="88"/>
      <c r="W49" s="11"/>
      <c r="X49" s="88"/>
      <c r="Y49" s="88"/>
      <c r="Z49" s="88"/>
      <c r="AA49" s="88"/>
      <c r="AB49" s="88"/>
      <c r="AC49" s="88"/>
      <c r="AD49" s="88"/>
      <c r="AE49" s="88"/>
      <c r="AF49" s="88"/>
      <c r="AG49" s="88"/>
      <c r="AH49" s="88"/>
      <c r="AI49" s="88"/>
      <c r="AJ49" s="88"/>
      <c r="AK49" s="13"/>
      <c r="AL49" s="8"/>
      <c r="AM49" s="8"/>
      <c r="AR49" s="88"/>
      <c r="AS49" s="88"/>
      <c r="AT49" s="88"/>
    </row>
    <row r="50" spans="1:46" ht="13.5" customHeight="1" x14ac:dyDescent="0.15">
      <c r="A50" s="9"/>
      <c r="B50" s="88"/>
      <c r="C50" s="88"/>
      <c r="D50" s="88"/>
      <c r="E50" s="88"/>
      <c r="F50" s="88"/>
      <c r="G50" s="88"/>
      <c r="H50" s="88"/>
      <c r="I50" s="88"/>
      <c r="J50" s="88"/>
      <c r="K50" s="88"/>
      <c r="L50" s="88"/>
      <c r="M50" s="88"/>
      <c r="N50" s="88"/>
      <c r="O50" s="88"/>
      <c r="P50" s="88"/>
      <c r="Q50" s="88"/>
      <c r="R50" s="88"/>
      <c r="S50" s="88"/>
      <c r="T50" s="88"/>
      <c r="U50" s="88"/>
      <c r="V50" s="88"/>
      <c r="W50" s="11"/>
      <c r="X50" s="88"/>
      <c r="Y50" s="88"/>
      <c r="Z50" s="88"/>
      <c r="AA50" s="88"/>
      <c r="AB50" s="88"/>
      <c r="AC50" s="88"/>
      <c r="AD50" s="88"/>
      <c r="AE50" s="88"/>
      <c r="AF50" s="88"/>
      <c r="AG50" s="88"/>
      <c r="AH50" s="88"/>
      <c r="AI50" s="88"/>
      <c r="AJ50" s="88"/>
      <c r="AK50" s="13"/>
      <c r="AL50" s="8"/>
      <c r="AM50" s="8"/>
      <c r="AR50" s="88"/>
      <c r="AS50" s="88"/>
      <c r="AT50" s="88"/>
    </row>
    <row r="51" spans="1:46" ht="13.5" customHeight="1" x14ac:dyDescent="0.15">
      <c r="A51" s="9"/>
      <c r="B51" s="88"/>
      <c r="C51" s="88"/>
      <c r="D51" s="88"/>
      <c r="E51" s="88"/>
      <c r="F51" s="88"/>
      <c r="G51" s="88"/>
      <c r="H51" s="88"/>
      <c r="I51" s="88"/>
      <c r="J51" s="88"/>
      <c r="K51" s="88"/>
      <c r="L51" s="88"/>
      <c r="M51" s="88"/>
      <c r="N51" s="88"/>
      <c r="O51" s="88"/>
      <c r="P51" s="88"/>
      <c r="Q51" s="88"/>
      <c r="R51" s="88"/>
      <c r="S51" s="88"/>
      <c r="T51" s="88"/>
      <c r="U51" s="88"/>
      <c r="V51" s="88"/>
      <c r="W51" s="11"/>
      <c r="X51" s="88"/>
      <c r="Y51" s="88"/>
      <c r="Z51" s="88"/>
      <c r="AA51" s="88"/>
      <c r="AB51" s="88"/>
      <c r="AC51" s="88"/>
      <c r="AD51" s="88"/>
      <c r="AE51" s="88"/>
      <c r="AF51" s="88"/>
      <c r="AG51" s="88"/>
      <c r="AH51" s="11"/>
      <c r="AI51" s="11"/>
      <c r="AJ51" s="11"/>
      <c r="AK51" s="13"/>
      <c r="AL51" s="8"/>
      <c r="AM51" s="8"/>
      <c r="AR51" s="88"/>
      <c r="AS51" s="88"/>
      <c r="AT51" s="88"/>
    </row>
    <row r="52" spans="1:46" ht="13.5" customHeight="1" x14ac:dyDescent="0.15">
      <c r="A52" s="9"/>
      <c r="B52" s="88"/>
      <c r="C52" s="88"/>
      <c r="D52" s="88"/>
      <c r="E52" s="88"/>
      <c r="F52" s="88"/>
      <c r="G52" s="88"/>
      <c r="H52" s="88"/>
      <c r="I52" s="88"/>
      <c r="J52" s="88"/>
      <c r="K52" s="88"/>
      <c r="L52" s="88"/>
      <c r="M52" s="88"/>
      <c r="N52" s="88"/>
      <c r="O52" s="88"/>
      <c r="P52" s="88"/>
      <c r="Q52" s="88"/>
      <c r="R52" s="88"/>
      <c r="S52" s="88"/>
      <c r="T52" s="88"/>
      <c r="U52" s="88"/>
      <c r="V52" s="88"/>
      <c r="W52" s="11"/>
      <c r="X52" s="88"/>
      <c r="Y52" s="88"/>
      <c r="Z52" s="88"/>
      <c r="AA52" s="88"/>
      <c r="AB52" s="88"/>
      <c r="AC52" s="88"/>
      <c r="AD52" s="88"/>
      <c r="AE52" s="88"/>
      <c r="AF52" s="88"/>
      <c r="AG52" s="88"/>
      <c r="AH52" s="11"/>
      <c r="AI52" s="11"/>
      <c r="AJ52" s="11"/>
      <c r="AK52" s="13"/>
      <c r="AL52" s="8"/>
      <c r="AM52" s="8"/>
      <c r="AR52" s="88"/>
      <c r="AS52" s="88"/>
      <c r="AT52" s="88"/>
    </row>
    <row r="53" spans="1:46" ht="13.5" customHeight="1" x14ac:dyDescent="0.15">
      <c r="A53" s="9"/>
      <c r="B53" s="88"/>
      <c r="C53" s="88"/>
      <c r="D53" s="88"/>
      <c r="E53" s="88"/>
      <c r="F53" s="88"/>
      <c r="G53" s="88"/>
      <c r="H53" s="88"/>
      <c r="I53" s="88"/>
      <c r="J53" s="88"/>
      <c r="K53" s="88"/>
      <c r="L53" s="88"/>
      <c r="M53" s="88"/>
      <c r="N53" s="88"/>
      <c r="O53" s="88"/>
      <c r="P53" s="88"/>
      <c r="Q53" s="88"/>
      <c r="R53" s="88"/>
      <c r="S53" s="88"/>
      <c r="T53" s="88"/>
      <c r="U53" s="88"/>
      <c r="V53" s="88"/>
      <c r="W53" s="11"/>
      <c r="X53" s="88"/>
      <c r="Y53" s="88"/>
      <c r="Z53" s="88"/>
      <c r="AA53" s="88"/>
      <c r="AB53" s="88"/>
      <c r="AC53" s="88"/>
      <c r="AD53" s="88"/>
      <c r="AE53" s="270" t="s">
        <v>166</v>
      </c>
      <c r="AF53" s="271"/>
      <c r="AG53" s="271"/>
      <c r="AH53" s="271"/>
      <c r="AI53" s="271"/>
      <c r="AJ53" s="271"/>
      <c r="AK53" s="272"/>
      <c r="AL53" s="8"/>
      <c r="AM53" s="8"/>
    </row>
    <row r="54" spans="1:46" ht="13.5" customHeight="1" x14ac:dyDescent="0.15">
      <c r="A54" s="9"/>
      <c r="B54" s="88"/>
      <c r="C54" s="88"/>
      <c r="D54" s="88"/>
      <c r="E54" s="88"/>
      <c r="F54" s="88"/>
      <c r="G54" s="88"/>
      <c r="H54" s="88"/>
      <c r="I54" s="88"/>
      <c r="J54" s="88"/>
      <c r="K54" s="88"/>
      <c r="L54" s="88"/>
      <c r="M54" s="88"/>
      <c r="N54" s="88"/>
      <c r="O54" s="88"/>
      <c r="P54" s="88"/>
      <c r="Q54" s="88"/>
      <c r="R54" s="88"/>
      <c r="S54" s="88"/>
      <c r="T54" s="88"/>
      <c r="U54" s="88"/>
      <c r="V54" s="88"/>
      <c r="W54" s="88"/>
      <c r="X54" s="88"/>
      <c r="Y54" s="88"/>
      <c r="Z54" s="88"/>
      <c r="AA54" s="88"/>
      <c r="AB54" s="88"/>
      <c r="AC54" s="88"/>
      <c r="AD54" s="88"/>
      <c r="AE54" s="125"/>
      <c r="AF54" s="88"/>
      <c r="AG54" s="88"/>
      <c r="AH54" s="88"/>
      <c r="AI54" s="88"/>
      <c r="AJ54" s="88"/>
      <c r="AK54" s="126" t="s">
        <v>204</v>
      </c>
      <c r="AL54" s="8"/>
      <c r="AM54" s="8"/>
    </row>
    <row r="55" spans="1:46" ht="13.5" customHeight="1" x14ac:dyDescent="0.15">
      <c r="A55" s="9"/>
      <c r="B55" s="88"/>
      <c r="C55" s="88"/>
      <c r="D55" s="88"/>
      <c r="E55" s="88"/>
      <c r="F55" s="88"/>
      <c r="G55" s="88"/>
      <c r="H55" s="88"/>
      <c r="I55" s="88"/>
      <c r="J55" s="88"/>
      <c r="K55" s="88"/>
      <c r="L55" s="88"/>
      <c r="M55" s="88"/>
      <c r="N55" s="88"/>
      <c r="O55" s="88"/>
      <c r="P55" s="88"/>
      <c r="Q55" s="88"/>
      <c r="R55" s="88"/>
      <c r="S55" s="88"/>
      <c r="T55" s="88"/>
      <c r="U55" s="88"/>
      <c r="V55" s="88"/>
      <c r="W55" s="88"/>
      <c r="X55" s="88"/>
      <c r="Y55" s="88"/>
      <c r="Z55" s="88"/>
      <c r="AA55" s="88"/>
      <c r="AB55" s="88"/>
      <c r="AC55" s="88"/>
      <c r="AD55" s="88"/>
      <c r="AE55" s="125"/>
      <c r="AF55" s="178"/>
      <c r="AG55" s="88" t="s">
        <v>270</v>
      </c>
      <c r="AH55" s="11"/>
      <c r="AI55" s="88"/>
      <c r="AJ55" s="88"/>
      <c r="AK55" s="126"/>
      <c r="AL55" s="8"/>
      <c r="AM55" s="8"/>
    </row>
    <row r="56" spans="1:46" s="10" customFormat="1" ht="13.5" customHeight="1" x14ac:dyDescent="0.15">
      <c r="A56" s="9"/>
      <c r="B56" s="88"/>
      <c r="C56" s="88"/>
      <c r="D56" s="88"/>
      <c r="E56" s="88"/>
      <c r="F56" s="88"/>
      <c r="G56" s="88"/>
      <c r="H56" s="88"/>
      <c r="I56" s="88"/>
      <c r="J56" s="88"/>
      <c r="K56" s="88"/>
      <c r="L56" s="88"/>
      <c r="M56" s="88"/>
      <c r="N56" s="88"/>
      <c r="O56" s="88"/>
      <c r="P56" s="88"/>
      <c r="Q56" s="88"/>
      <c r="R56" s="88"/>
      <c r="S56" s="88"/>
      <c r="T56" s="88"/>
      <c r="U56" s="88"/>
      <c r="V56" s="88"/>
      <c r="W56" s="88"/>
      <c r="X56" s="88"/>
      <c r="Y56" s="88"/>
      <c r="Z56" s="88"/>
      <c r="AA56" s="88"/>
      <c r="AB56" s="88"/>
      <c r="AC56" s="88"/>
      <c r="AD56" s="88"/>
      <c r="AE56" s="125"/>
      <c r="AF56" s="88"/>
      <c r="AG56" s="88"/>
      <c r="AH56" s="88"/>
      <c r="AI56" s="88"/>
      <c r="AJ56" s="88"/>
      <c r="AK56" s="126" t="s">
        <v>94</v>
      </c>
    </row>
    <row r="57" spans="1:46" ht="13.5" customHeight="1" x14ac:dyDescent="0.15">
      <c r="A57" s="9"/>
      <c r="B57" s="88"/>
      <c r="C57" s="88"/>
      <c r="D57" s="88"/>
      <c r="E57" s="88"/>
      <c r="F57" s="88"/>
      <c r="G57" s="88"/>
      <c r="H57" s="88"/>
      <c r="I57" s="88"/>
      <c r="J57" s="88"/>
      <c r="K57" s="88"/>
      <c r="L57" s="88"/>
      <c r="M57" s="88"/>
      <c r="N57" s="88"/>
      <c r="O57" s="88"/>
      <c r="P57" s="88"/>
      <c r="Q57" s="88"/>
      <c r="R57" s="88"/>
      <c r="S57" s="88"/>
      <c r="T57" s="88"/>
      <c r="U57" s="88"/>
      <c r="V57" s="88"/>
      <c r="W57" s="88"/>
      <c r="X57" s="88"/>
      <c r="Y57" s="88"/>
      <c r="Z57" s="88"/>
      <c r="AA57" s="88"/>
      <c r="AB57" s="88"/>
      <c r="AC57" s="88"/>
      <c r="AD57" s="88"/>
      <c r="AE57" s="125"/>
      <c r="AF57" s="179"/>
      <c r="AG57" s="88" t="s">
        <v>271</v>
      </c>
      <c r="AH57" s="88"/>
      <c r="AI57" s="88"/>
      <c r="AJ57" s="88"/>
      <c r="AK57" s="126"/>
      <c r="AL57" s="8"/>
      <c r="AM57" s="8"/>
    </row>
    <row r="58" spans="1:46" ht="13.5" customHeight="1" x14ac:dyDescent="0.15">
      <c r="A58" s="9"/>
      <c r="B58" s="88"/>
      <c r="C58" s="88"/>
      <c r="D58" s="88"/>
      <c r="E58" s="88"/>
      <c r="F58" s="88"/>
      <c r="G58" s="88"/>
      <c r="H58" s="88"/>
      <c r="I58" s="88"/>
      <c r="J58" s="88"/>
      <c r="K58" s="88"/>
      <c r="L58" s="88"/>
      <c r="M58" s="88"/>
      <c r="N58" s="88"/>
      <c r="O58" s="88"/>
      <c r="P58" s="88"/>
      <c r="Q58" s="88"/>
      <c r="R58" s="88"/>
      <c r="S58" s="88"/>
      <c r="T58" s="88"/>
      <c r="U58" s="88"/>
      <c r="V58" s="88"/>
      <c r="W58" s="88"/>
      <c r="X58" s="88"/>
      <c r="Y58" s="88"/>
      <c r="Z58" s="88"/>
      <c r="AA58" s="88"/>
      <c r="AB58" s="88"/>
      <c r="AC58" s="88"/>
      <c r="AD58" s="88"/>
      <c r="AE58" s="125"/>
      <c r="AF58" s="88"/>
      <c r="AG58" s="88"/>
      <c r="AH58" s="88"/>
      <c r="AI58" s="88"/>
      <c r="AJ58" s="88"/>
      <c r="AK58" s="126" t="s">
        <v>165</v>
      </c>
      <c r="AL58" s="8"/>
      <c r="AM58" s="8"/>
    </row>
    <row r="59" spans="1:46" ht="13.5" customHeight="1" x14ac:dyDescent="0.15">
      <c r="A59" s="9"/>
      <c r="B59" s="88"/>
      <c r="C59" s="88"/>
      <c r="D59" s="88"/>
      <c r="E59" s="88"/>
      <c r="F59" s="88"/>
      <c r="G59" s="88"/>
      <c r="H59" s="88"/>
      <c r="I59" s="88"/>
      <c r="J59" s="88"/>
      <c r="K59" s="88"/>
      <c r="L59" s="88"/>
      <c r="M59" s="88"/>
      <c r="N59" s="88"/>
      <c r="O59" s="88"/>
      <c r="P59" s="88"/>
      <c r="Q59" s="88"/>
      <c r="R59" s="88"/>
      <c r="S59" s="88"/>
      <c r="T59" s="88"/>
      <c r="U59" s="88"/>
      <c r="V59" s="88"/>
      <c r="W59" s="88"/>
      <c r="X59" s="88"/>
      <c r="Y59" s="88"/>
      <c r="Z59" s="88"/>
      <c r="AA59" s="88"/>
      <c r="AB59" s="88"/>
      <c r="AC59" s="88"/>
      <c r="AD59" s="88"/>
      <c r="AE59" s="125"/>
      <c r="AF59" s="88"/>
      <c r="AG59" s="88"/>
      <c r="AH59" s="88"/>
      <c r="AI59" s="88"/>
      <c r="AJ59" s="88"/>
      <c r="AK59" s="126"/>
      <c r="AL59" s="8"/>
      <c r="AM59" s="8"/>
    </row>
    <row r="60" spans="1:46" ht="13.5" customHeight="1" x14ac:dyDescent="0.15">
      <c r="A60" s="9"/>
      <c r="B60" s="88"/>
      <c r="C60" s="88"/>
      <c r="D60" s="88"/>
      <c r="E60" s="88"/>
      <c r="F60" s="88"/>
      <c r="G60" s="88"/>
      <c r="H60" s="88"/>
      <c r="I60" s="88"/>
      <c r="J60" s="88"/>
      <c r="K60" s="88"/>
      <c r="L60" s="88"/>
      <c r="M60" s="88"/>
      <c r="N60" s="88"/>
      <c r="O60" s="88"/>
      <c r="P60" s="88"/>
      <c r="Q60" s="88"/>
      <c r="R60" s="88"/>
      <c r="S60" s="88"/>
      <c r="T60" s="88"/>
      <c r="U60" s="88"/>
      <c r="V60" s="88"/>
      <c r="W60" s="88"/>
      <c r="X60" s="88"/>
      <c r="Y60" s="88"/>
      <c r="Z60" s="88"/>
      <c r="AA60" s="88"/>
      <c r="AB60" s="88"/>
      <c r="AC60" s="88"/>
      <c r="AD60" s="88"/>
      <c r="AE60" s="125"/>
      <c r="AF60" s="88"/>
      <c r="AG60" s="88"/>
      <c r="AH60" s="88"/>
      <c r="AI60" s="88"/>
      <c r="AJ60" s="88"/>
      <c r="AK60" s="126" t="s">
        <v>203</v>
      </c>
      <c r="AL60" s="8"/>
      <c r="AM60" s="8"/>
    </row>
    <row r="61" spans="1:46" ht="13.5" customHeight="1" x14ac:dyDescent="0.15">
      <c r="A61" s="14"/>
      <c r="B61" s="15"/>
      <c r="C61" s="15"/>
      <c r="D61" s="15"/>
      <c r="E61" s="15"/>
      <c r="F61" s="15"/>
      <c r="G61" s="15"/>
      <c r="H61" s="15"/>
      <c r="I61" s="15"/>
      <c r="J61" s="15"/>
      <c r="K61" s="15"/>
      <c r="L61" s="15"/>
      <c r="M61" s="15"/>
      <c r="N61" s="15"/>
      <c r="O61" s="15"/>
      <c r="P61" s="15"/>
      <c r="Q61" s="15"/>
      <c r="R61" s="15"/>
      <c r="S61" s="15"/>
      <c r="T61" s="15"/>
      <c r="U61" s="15"/>
      <c r="V61" s="15"/>
      <c r="W61" s="15"/>
      <c r="X61" s="15"/>
      <c r="Y61" s="15"/>
      <c r="Z61" s="15"/>
      <c r="AA61" s="15"/>
      <c r="AB61" s="15"/>
      <c r="AC61" s="15"/>
      <c r="AD61" s="15"/>
      <c r="AE61" s="14"/>
      <c r="AF61" s="15"/>
      <c r="AG61" s="15"/>
      <c r="AH61" s="15"/>
      <c r="AI61" s="15"/>
      <c r="AJ61" s="15"/>
      <c r="AK61" s="16"/>
      <c r="AL61" s="8"/>
      <c r="AM61" s="8"/>
    </row>
    <row r="62" spans="1:46" ht="13.5" customHeight="1" x14ac:dyDescent="0.15">
      <c r="A62" s="260" t="s">
        <v>17</v>
      </c>
      <c r="B62" s="261"/>
      <c r="C62" s="261"/>
      <c r="D62" s="261"/>
      <c r="E62" s="261"/>
      <c r="F62" s="262"/>
      <c r="G62" s="243" t="s">
        <v>5</v>
      </c>
      <c r="H62" s="245"/>
      <c r="I62" s="244"/>
      <c r="J62" s="21">
        <f>J1</f>
        <v>0</v>
      </c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243" t="s">
        <v>8</v>
      </c>
      <c r="AC62" s="244"/>
      <c r="AD62" s="243" t="s">
        <v>7</v>
      </c>
      <c r="AE62" s="245"/>
      <c r="AF62" s="244"/>
      <c r="AG62" s="243" t="s">
        <v>9</v>
      </c>
      <c r="AH62" s="244"/>
      <c r="AI62" s="243" t="s">
        <v>10</v>
      </c>
      <c r="AJ62" s="245"/>
      <c r="AK62" s="244"/>
    </row>
    <row r="63" spans="1:46" ht="13.5" customHeight="1" x14ac:dyDescent="0.15">
      <c r="A63" s="263"/>
      <c r="B63" s="264"/>
      <c r="C63" s="264"/>
      <c r="D63" s="264"/>
      <c r="E63" s="264"/>
      <c r="F63" s="265"/>
      <c r="G63" s="243" t="s">
        <v>6</v>
      </c>
      <c r="H63" s="245"/>
      <c r="I63" s="244"/>
      <c r="J63" s="21">
        <f>J2</f>
        <v>0</v>
      </c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246" t="str">
        <f>IF(AB2&lt;&gt;"", AB2,"")</f>
        <v/>
      </c>
      <c r="AC63" s="247"/>
      <c r="AD63" s="273" t="str">
        <f>IF(AD2&lt;&gt;"", AD2,"")</f>
        <v/>
      </c>
      <c r="AE63" s="274"/>
      <c r="AF63" s="275"/>
      <c r="AG63" s="246" t="str">
        <f>IF(AG2&lt;&gt;"", AG2,"")</f>
        <v/>
      </c>
      <c r="AH63" s="247"/>
      <c r="AI63" s="273" t="str">
        <f>IF(AI2&lt;&gt;"", AI2,"")</f>
        <v/>
      </c>
      <c r="AJ63" s="274"/>
      <c r="AK63" s="275"/>
    </row>
    <row r="64" spans="1:46" ht="13.5" customHeight="1" x14ac:dyDescent="0.15">
      <c r="A64" s="266"/>
      <c r="B64" s="267"/>
      <c r="C64" s="267"/>
      <c r="D64" s="267"/>
      <c r="E64" s="267"/>
      <c r="F64" s="268"/>
      <c r="G64" s="243"/>
      <c r="H64" s="245"/>
      <c r="I64" s="244"/>
      <c r="J64" s="21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248"/>
      <c r="AC64" s="249"/>
      <c r="AD64" s="276"/>
      <c r="AE64" s="277"/>
      <c r="AF64" s="278"/>
      <c r="AG64" s="248"/>
      <c r="AH64" s="249"/>
      <c r="AI64" s="276"/>
      <c r="AJ64" s="277"/>
      <c r="AK64" s="278"/>
    </row>
    <row r="65" spans="1:37" ht="13.5" customHeight="1" x14ac:dyDescent="0.15">
      <c r="A65" s="86"/>
      <c r="B65" s="11"/>
      <c r="C65" s="11"/>
      <c r="D65" s="11"/>
      <c r="E65" s="11"/>
      <c r="F65" s="11"/>
      <c r="G65" s="11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8"/>
      <c r="AC65" s="11"/>
      <c r="AD65" s="11"/>
      <c r="AE65" s="11"/>
      <c r="AF65" s="11"/>
      <c r="AG65" s="11"/>
      <c r="AH65" s="11"/>
      <c r="AI65" s="11"/>
      <c r="AJ65" s="11"/>
      <c r="AK65" s="11"/>
    </row>
    <row r="66" spans="1:37" ht="13.5" customHeight="1" x14ac:dyDescent="0.15">
      <c r="A66" s="83" t="s">
        <v>17</v>
      </c>
      <c r="B66" s="84"/>
      <c r="C66" s="84"/>
      <c r="D66" s="84"/>
      <c r="E66" s="84"/>
      <c r="F66" s="84"/>
      <c r="G66" s="84"/>
      <c r="H66" s="84"/>
      <c r="I66" s="84"/>
      <c r="J66" s="84"/>
      <c r="K66" s="84"/>
      <c r="L66" s="84"/>
      <c r="M66" s="84"/>
      <c r="N66" s="84"/>
      <c r="O66" s="84"/>
      <c r="P66" s="84"/>
      <c r="Q66" s="84"/>
      <c r="R66" s="84"/>
      <c r="S66" s="84"/>
      <c r="T66" s="84"/>
      <c r="U66" s="84"/>
      <c r="V66" s="84"/>
      <c r="W66" s="84"/>
      <c r="X66" s="84"/>
      <c r="Y66" s="84"/>
      <c r="Z66" s="84"/>
      <c r="AA66" s="84"/>
      <c r="AB66" s="84"/>
      <c r="AC66" s="84"/>
      <c r="AD66" s="84"/>
      <c r="AE66" s="84"/>
      <c r="AF66" s="84"/>
      <c r="AG66" s="84"/>
      <c r="AH66" s="84"/>
      <c r="AI66" s="84"/>
      <c r="AJ66" s="84"/>
      <c r="AK66" s="85"/>
    </row>
    <row r="67" spans="1:37" ht="13.5" customHeight="1" x14ac:dyDescent="0.15">
      <c r="A67" s="159"/>
      <c r="B67" s="160"/>
      <c r="C67" s="160"/>
      <c r="D67" s="160"/>
      <c r="E67" s="160"/>
      <c r="F67" s="160"/>
      <c r="G67" s="160"/>
      <c r="H67" s="160"/>
      <c r="I67" s="160"/>
      <c r="J67" s="160"/>
      <c r="K67" s="160"/>
      <c r="L67" s="160"/>
      <c r="M67" s="160"/>
      <c r="N67" s="160"/>
      <c r="O67" s="160"/>
      <c r="P67" s="160"/>
      <c r="Q67" s="160"/>
      <c r="R67" s="160"/>
      <c r="S67" s="160"/>
      <c r="T67" s="160"/>
      <c r="U67" s="160"/>
      <c r="V67" s="160"/>
      <c r="W67" s="160"/>
      <c r="X67" s="160"/>
      <c r="Y67" s="160"/>
      <c r="Z67" s="160"/>
      <c r="AA67" s="160"/>
      <c r="AB67" s="160"/>
      <c r="AC67" s="160"/>
      <c r="AD67" s="160"/>
      <c r="AE67" s="160"/>
      <c r="AF67" s="160"/>
      <c r="AG67" s="160"/>
      <c r="AH67" s="160"/>
      <c r="AI67" s="160"/>
      <c r="AJ67" s="160"/>
      <c r="AK67" s="161"/>
    </row>
    <row r="68" spans="1:37" ht="13.5" customHeight="1" x14ac:dyDescent="0.15">
      <c r="A68" s="17"/>
      <c r="B68" s="88"/>
      <c r="C68" s="88"/>
      <c r="D68" s="88"/>
      <c r="E68" s="88"/>
      <c r="F68" s="88"/>
      <c r="G68" s="88"/>
      <c r="H68" s="88"/>
      <c r="I68" s="88"/>
      <c r="J68" s="88"/>
      <c r="K68" s="88"/>
      <c r="L68" s="88"/>
      <c r="M68" s="88"/>
      <c r="N68" s="88"/>
      <c r="O68" s="88"/>
      <c r="P68" s="88"/>
      <c r="Q68" s="88"/>
      <c r="R68" s="88"/>
      <c r="S68" s="88"/>
      <c r="T68" s="88"/>
      <c r="U68" s="88"/>
      <c r="V68" s="88"/>
      <c r="W68" s="88"/>
      <c r="X68" s="88"/>
      <c r="Y68" s="88"/>
      <c r="Z68" s="88"/>
      <c r="AA68" s="88"/>
      <c r="AB68" s="88"/>
      <c r="AC68" s="88"/>
      <c r="AD68" s="88"/>
      <c r="AE68" s="88"/>
      <c r="AF68" s="88"/>
      <c r="AG68" s="88"/>
      <c r="AH68" s="88"/>
      <c r="AI68" s="88"/>
      <c r="AJ68" s="88"/>
      <c r="AK68" s="13"/>
    </row>
    <row r="69" spans="1:37" ht="13.5" customHeight="1" x14ac:dyDescent="0.15">
      <c r="A69" s="17"/>
      <c r="B69" s="88"/>
      <c r="C69" s="88"/>
      <c r="D69" s="88"/>
      <c r="E69" s="88"/>
      <c r="F69" s="88"/>
      <c r="G69" s="88"/>
      <c r="H69" s="88"/>
      <c r="I69" s="88"/>
      <c r="J69" s="88"/>
      <c r="K69" s="88"/>
      <c r="L69" s="88"/>
      <c r="M69" s="88"/>
      <c r="N69" s="88"/>
      <c r="O69" s="88"/>
      <c r="P69" s="88"/>
      <c r="Q69" s="88"/>
      <c r="R69" s="88"/>
      <c r="S69" s="88"/>
      <c r="T69" s="88"/>
      <c r="U69" s="88"/>
      <c r="V69" s="88"/>
      <c r="W69" s="88"/>
      <c r="X69" s="88"/>
      <c r="Y69" s="88"/>
      <c r="Z69" s="88"/>
      <c r="AA69" s="88"/>
      <c r="AB69" s="88"/>
      <c r="AC69" s="88"/>
      <c r="AD69" s="88"/>
      <c r="AE69" s="88"/>
      <c r="AF69" s="88"/>
      <c r="AG69" s="88"/>
      <c r="AH69" s="88"/>
      <c r="AI69" s="88"/>
      <c r="AJ69" s="88"/>
      <c r="AK69" s="13"/>
    </row>
    <row r="70" spans="1:37" ht="13.5" customHeight="1" x14ac:dyDescent="0.15">
      <c r="A70" s="17"/>
      <c r="B70" s="88"/>
      <c r="C70" s="88"/>
      <c r="D70" s="88"/>
      <c r="E70" s="88"/>
      <c r="F70" s="88"/>
      <c r="G70" s="88"/>
      <c r="H70" s="88"/>
      <c r="I70" s="88"/>
      <c r="J70" s="88"/>
      <c r="K70" s="88"/>
      <c r="L70" s="88"/>
      <c r="M70" s="88"/>
      <c r="N70" s="88"/>
      <c r="O70" s="88"/>
      <c r="P70" s="88"/>
      <c r="Q70" s="88"/>
      <c r="R70" s="88"/>
      <c r="S70" s="88"/>
      <c r="T70" s="88"/>
      <c r="U70" s="88"/>
      <c r="V70" s="88"/>
      <c r="W70" s="88"/>
      <c r="X70" s="88"/>
      <c r="Y70" s="88"/>
      <c r="Z70" s="88"/>
      <c r="AA70" s="88"/>
      <c r="AB70" s="88"/>
      <c r="AC70" s="88"/>
      <c r="AD70" s="88"/>
      <c r="AE70" s="88"/>
      <c r="AF70" s="88"/>
      <c r="AG70" s="88"/>
      <c r="AH70" s="88"/>
      <c r="AI70" s="88"/>
      <c r="AJ70" s="88"/>
      <c r="AK70" s="13"/>
    </row>
    <row r="71" spans="1:37" ht="13.5" customHeight="1" x14ac:dyDescent="0.15">
      <c r="A71" s="17"/>
      <c r="B71" s="88"/>
      <c r="C71" s="88"/>
      <c r="D71" s="88"/>
      <c r="E71" s="88"/>
      <c r="F71" s="88"/>
      <c r="G71" s="88"/>
      <c r="H71" s="88"/>
      <c r="I71" s="88"/>
      <c r="J71" s="88"/>
      <c r="K71" s="88"/>
      <c r="L71" s="88"/>
      <c r="M71" s="88"/>
      <c r="N71" s="88"/>
      <c r="O71" s="88"/>
      <c r="P71" s="88"/>
      <c r="Q71" s="88"/>
      <c r="R71" s="88"/>
      <c r="S71" s="88"/>
      <c r="T71" s="88"/>
      <c r="U71" s="88"/>
      <c r="V71" s="88"/>
      <c r="W71" s="88"/>
      <c r="X71" s="88"/>
      <c r="Y71" s="88"/>
      <c r="Z71" s="88"/>
      <c r="AA71" s="88"/>
      <c r="AB71" s="88"/>
      <c r="AC71" s="88"/>
      <c r="AD71" s="88"/>
      <c r="AE71" s="88"/>
      <c r="AF71" s="88"/>
      <c r="AG71" s="88"/>
      <c r="AH71" s="88"/>
      <c r="AI71" s="88"/>
      <c r="AJ71" s="88"/>
      <c r="AK71" s="13"/>
    </row>
    <row r="72" spans="1:37" ht="13.5" customHeight="1" x14ac:dyDescent="0.15">
      <c r="A72" s="17"/>
      <c r="B72" s="88"/>
      <c r="C72" s="88"/>
      <c r="D72" s="88"/>
      <c r="E72" s="88"/>
      <c r="F72" s="88"/>
      <c r="G72" s="88"/>
      <c r="H72" s="88"/>
      <c r="I72" s="88"/>
      <c r="J72" s="88"/>
      <c r="K72" s="88"/>
      <c r="L72" s="88"/>
      <c r="M72" s="88"/>
      <c r="N72" s="88"/>
      <c r="O72" s="88"/>
      <c r="P72" s="88"/>
      <c r="Q72" s="88"/>
      <c r="R72" s="88"/>
      <c r="S72" s="88"/>
      <c r="T72" s="88"/>
      <c r="U72" s="88"/>
      <c r="V72" s="88"/>
      <c r="W72" s="88"/>
      <c r="X72" s="88"/>
      <c r="Y72" s="88"/>
      <c r="Z72" s="88"/>
      <c r="AA72" s="88"/>
      <c r="AB72" s="88"/>
      <c r="AC72" s="88"/>
      <c r="AD72" s="88"/>
      <c r="AE72" s="88"/>
      <c r="AF72" s="88"/>
      <c r="AG72" s="88"/>
      <c r="AH72" s="88"/>
      <c r="AI72" s="88"/>
      <c r="AJ72" s="88"/>
      <c r="AK72" s="13"/>
    </row>
    <row r="73" spans="1:37" ht="13.5" customHeight="1" x14ac:dyDescent="0.15">
      <c r="A73" s="17"/>
      <c r="B73" s="88"/>
      <c r="C73" s="88"/>
      <c r="D73" s="88"/>
      <c r="E73" s="88"/>
      <c r="F73" s="88"/>
      <c r="G73" s="88"/>
      <c r="H73" s="88"/>
      <c r="I73" s="88"/>
      <c r="J73" s="88"/>
      <c r="K73" s="88"/>
      <c r="L73" s="88"/>
      <c r="M73" s="88"/>
      <c r="N73" s="88"/>
      <c r="O73" s="88"/>
      <c r="P73" s="88"/>
      <c r="Q73" s="88"/>
      <c r="R73" s="88"/>
      <c r="S73" s="88"/>
      <c r="T73" s="88"/>
      <c r="U73" s="88"/>
      <c r="V73" s="88"/>
      <c r="W73" s="88"/>
      <c r="X73" s="88"/>
      <c r="Y73" s="88"/>
      <c r="Z73" s="88"/>
      <c r="AA73" s="88"/>
      <c r="AB73" s="88"/>
      <c r="AC73" s="88"/>
      <c r="AD73" s="88"/>
      <c r="AE73" s="88"/>
      <c r="AF73" s="88"/>
      <c r="AG73" s="88"/>
      <c r="AH73" s="88"/>
      <c r="AI73" s="88"/>
      <c r="AJ73" s="88"/>
      <c r="AK73" s="13"/>
    </row>
    <row r="74" spans="1:37" ht="13.5" customHeight="1" x14ac:dyDescent="0.15">
      <c r="A74" s="17"/>
      <c r="B74" s="88"/>
      <c r="C74" s="88"/>
      <c r="D74" s="88"/>
      <c r="E74" s="88"/>
      <c r="F74" s="88"/>
      <c r="G74" s="88"/>
      <c r="H74" s="88"/>
      <c r="I74" s="88"/>
      <c r="J74" s="88"/>
      <c r="K74" s="88"/>
      <c r="L74" s="88"/>
      <c r="M74" s="88"/>
      <c r="N74" s="88"/>
      <c r="O74" s="88"/>
      <c r="P74" s="88"/>
      <c r="Q74" s="88"/>
      <c r="R74" s="88"/>
      <c r="S74" s="88"/>
      <c r="T74" s="88"/>
      <c r="U74" s="88"/>
      <c r="V74" s="88"/>
      <c r="W74" s="88"/>
      <c r="X74" s="88"/>
      <c r="Y74" s="88"/>
      <c r="Z74" s="88"/>
      <c r="AA74" s="88"/>
      <c r="AB74" s="88"/>
      <c r="AC74" s="88"/>
      <c r="AD74" s="88"/>
      <c r="AE74" s="88"/>
      <c r="AF74" s="88"/>
      <c r="AG74" s="88"/>
      <c r="AH74" s="88"/>
      <c r="AI74" s="88"/>
      <c r="AJ74" s="88"/>
      <c r="AK74" s="13"/>
    </row>
    <row r="75" spans="1:37" ht="13.5" customHeight="1" x14ac:dyDescent="0.15">
      <c r="A75" s="17"/>
      <c r="B75" s="88"/>
      <c r="C75" s="88"/>
      <c r="D75" s="88"/>
      <c r="E75" s="88"/>
      <c r="F75" s="88"/>
      <c r="G75" s="88"/>
      <c r="H75" s="88"/>
      <c r="I75" s="88"/>
      <c r="J75" s="88"/>
      <c r="K75" s="88"/>
      <c r="L75" s="88"/>
      <c r="M75" s="88"/>
      <c r="N75" s="88"/>
      <c r="O75" s="88"/>
      <c r="P75" s="88"/>
      <c r="Q75" s="88"/>
      <c r="R75" s="88"/>
      <c r="S75" s="88"/>
      <c r="T75" s="88"/>
      <c r="U75" s="88"/>
      <c r="V75" s="88"/>
      <c r="W75" s="88"/>
      <c r="X75" s="88"/>
      <c r="Y75" s="88"/>
      <c r="Z75" s="88"/>
      <c r="AA75" s="88"/>
      <c r="AB75" s="88"/>
      <c r="AC75" s="88"/>
      <c r="AD75" s="88"/>
      <c r="AE75" s="88"/>
      <c r="AF75" s="88"/>
      <c r="AG75" s="88"/>
      <c r="AH75" s="88"/>
      <c r="AI75" s="88"/>
      <c r="AJ75" s="88"/>
      <c r="AK75" s="13"/>
    </row>
    <row r="76" spans="1:37" ht="13.5" customHeight="1" x14ac:dyDescent="0.15">
      <c r="A76" s="9"/>
      <c r="B76" s="88"/>
      <c r="C76" s="88"/>
      <c r="D76" s="88"/>
      <c r="E76" s="88"/>
      <c r="F76" s="88"/>
      <c r="G76" s="88"/>
      <c r="H76" s="88"/>
      <c r="I76" s="88"/>
      <c r="J76" s="88"/>
      <c r="K76" s="88"/>
      <c r="L76" s="88"/>
      <c r="M76" s="88"/>
      <c r="N76" s="88"/>
      <c r="O76" s="88"/>
      <c r="P76" s="88"/>
      <c r="Q76" s="88"/>
      <c r="R76" s="88"/>
      <c r="S76" s="88"/>
      <c r="T76" s="88"/>
      <c r="U76" s="88"/>
      <c r="V76" s="88"/>
      <c r="W76" s="88"/>
      <c r="X76" s="88"/>
      <c r="Y76" s="88"/>
      <c r="Z76" s="88"/>
      <c r="AA76" s="88"/>
      <c r="AB76" s="88"/>
      <c r="AC76" s="88"/>
      <c r="AD76" s="88"/>
      <c r="AE76" s="88"/>
      <c r="AF76" s="88"/>
      <c r="AG76" s="88"/>
      <c r="AH76" s="88"/>
      <c r="AI76" s="88"/>
      <c r="AJ76" s="88"/>
      <c r="AK76" s="13"/>
    </row>
    <row r="77" spans="1:37" ht="13.5" customHeight="1" x14ac:dyDescent="0.15">
      <c r="A77" s="9"/>
      <c r="B77" s="88"/>
      <c r="C77" s="88"/>
      <c r="D77" s="88"/>
      <c r="E77" s="88"/>
      <c r="F77" s="88"/>
      <c r="G77" s="88"/>
      <c r="H77" s="88"/>
      <c r="I77" s="88"/>
      <c r="J77" s="88"/>
      <c r="K77" s="88"/>
      <c r="L77" s="88"/>
      <c r="M77" s="88"/>
      <c r="N77" s="88"/>
      <c r="O77" s="88"/>
      <c r="P77" s="88"/>
      <c r="Q77" s="88"/>
      <c r="R77" s="88"/>
      <c r="S77" s="88"/>
      <c r="T77" s="88"/>
      <c r="U77" s="88"/>
      <c r="V77" s="88"/>
      <c r="W77" s="88"/>
      <c r="X77" s="88"/>
      <c r="Y77" s="88"/>
      <c r="Z77" s="88"/>
      <c r="AA77" s="88"/>
      <c r="AB77" s="88"/>
      <c r="AC77" s="88"/>
      <c r="AD77" s="88"/>
      <c r="AE77" s="88"/>
      <c r="AF77" s="88"/>
      <c r="AG77" s="88"/>
      <c r="AH77" s="88"/>
      <c r="AI77" s="88"/>
      <c r="AJ77" s="88"/>
      <c r="AK77" s="13"/>
    </row>
    <row r="78" spans="1:37" ht="13.5" customHeight="1" x14ac:dyDescent="0.15">
      <c r="A78" s="9"/>
      <c r="B78" s="88"/>
      <c r="C78" s="88"/>
      <c r="D78" s="88"/>
      <c r="E78" s="88"/>
      <c r="F78" s="88"/>
      <c r="G78" s="88"/>
      <c r="H78" s="88"/>
      <c r="I78" s="88"/>
      <c r="J78" s="88"/>
      <c r="K78" s="88"/>
      <c r="L78" s="88"/>
      <c r="M78" s="88"/>
      <c r="N78" s="88"/>
      <c r="O78" s="88"/>
      <c r="P78" s="88"/>
      <c r="Q78" s="88"/>
      <c r="R78" s="88"/>
      <c r="S78" s="88"/>
      <c r="T78" s="88"/>
      <c r="U78" s="88"/>
      <c r="V78" s="88"/>
      <c r="W78" s="88"/>
      <c r="X78" s="88"/>
      <c r="Y78" s="88"/>
      <c r="Z78" s="88"/>
      <c r="AA78" s="88"/>
      <c r="AB78" s="88"/>
      <c r="AC78" s="88"/>
      <c r="AD78" s="88"/>
      <c r="AE78" s="88"/>
      <c r="AF78" s="88"/>
      <c r="AG78" s="88"/>
      <c r="AH78" s="88"/>
      <c r="AI78" s="88"/>
      <c r="AJ78" s="88"/>
      <c r="AK78" s="13"/>
    </row>
    <row r="79" spans="1:37" ht="13.5" customHeight="1" x14ac:dyDescent="0.15">
      <c r="A79" s="9"/>
      <c r="B79" s="88"/>
      <c r="C79" s="88"/>
      <c r="D79" s="88"/>
      <c r="E79" s="88"/>
      <c r="F79" s="88"/>
      <c r="G79" s="88"/>
      <c r="H79" s="88"/>
      <c r="I79" s="88"/>
      <c r="J79" s="88"/>
      <c r="K79" s="88"/>
      <c r="L79" s="88"/>
      <c r="M79" s="88"/>
      <c r="N79" s="88"/>
      <c r="O79" s="88"/>
      <c r="P79" s="88"/>
      <c r="Q79" s="88"/>
      <c r="R79" s="88"/>
      <c r="S79" s="88"/>
      <c r="T79" s="88"/>
      <c r="U79" s="88"/>
      <c r="V79" s="88"/>
      <c r="W79" s="88"/>
      <c r="X79" s="88"/>
      <c r="Y79" s="88"/>
      <c r="Z79" s="88"/>
      <c r="AA79" s="88"/>
      <c r="AB79" s="88"/>
      <c r="AC79" s="88"/>
      <c r="AD79" s="88"/>
      <c r="AE79" s="88"/>
      <c r="AF79" s="88"/>
      <c r="AG79" s="88"/>
      <c r="AH79" s="88"/>
      <c r="AI79" s="88"/>
      <c r="AJ79" s="88"/>
      <c r="AK79" s="13"/>
    </row>
    <row r="80" spans="1:37" ht="13.5" customHeight="1" x14ac:dyDescent="0.15">
      <c r="A80" s="9"/>
      <c r="B80" s="88"/>
      <c r="C80" s="88"/>
      <c r="D80" s="88"/>
      <c r="E80" s="88"/>
      <c r="F80" s="88"/>
      <c r="G80" s="88"/>
      <c r="H80" s="88"/>
      <c r="I80" s="88"/>
      <c r="J80" s="88"/>
      <c r="K80" s="88"/>
      <c r="L80" s="88"/>
      <c r="M80" s="88"/>
      <c r="N80" s="88"/>
      <c r="O80" s="88"/>
      <c r="P80" s="88"/>
      <c r="Q80" s="88"/>
      <c r="R80" s="88"/>
      <c r="S80" s="88"/>
      <c r="T80" s="88"/>
      <c r="U80" s="88"/>
      <c r="V80" s="88"/>
      <c r="W80" s="88"/>
      <c r="X80" s="88"/>
      <c r="Y80" s="88"/>
      <c r="Z80" s="88"/>
      <c r="AA80" s="88"/>
      <c r="AB80" s="88"/>
      <c r="AC80" s="88"/>
      <c r="AD80" s="88"/>
      <c r="AE80" s="88"/>
      <c r="AF80" s="88"/>
      <c r="AG80" s="88"/>
      <c r="AH80" s="88"/>
      <c r="AI80" s="88"/>
      <c r="AJ80" s="88"/>
      <c r="AK80" s="13"/>
    </row>
    <row r="81" spans="1:37" ht="13.5" customHeight="1" x14ac:dyDescent="0.15">
      <c r="A81" s="9"/>
      <c r="B81" s="88"/>
      <c r="C81" s="88"/>
      <c r="D81" s="88"/>
      <c r="E81" s="88"/>
      <c r="F81" s="88"/>
      <c r="G81" s="88"/>
      <c r="H81" s="88"/>
      <c r="I81" s="88"/>
      <c r="J81" s="88"/>
      <c r="K81" s="88"/>
      <c r="L81" s="88"/>
      <c r="M81" s="88"/>
      <c r="N81" s="88"/>
      <c r="O81" s="88"/>
      <c r="P81" s="88"/>
      <c r="Q81" s="88"/>
      <c r="R81" s="88"/>
      <c r="S81" s="88"/>
      <c r="T81" s="88"/>
      <c r="U81" s="88"/>
      <c r="V81" s="88"/>
      <c r="W81" s="88"/>
      <c r="X81" s="88"/>
      <c r="Y81" s="88"/>
      <c r="Z81" s="88"/>
      <c r="AA81" s="88"/>
      <c r="AB81" s="88"/>
      <c r="AC81" s="88"/>
      <c r="AD81" s="88"/>
      <c r="AE81" s="88"/>
      <c r="AF81" s="88"/>
      <c r="AG81" s="88"/>
      <c r="AH81" s="88"/>
      <c r="AI81" s="88"/>
      <c r="AJ81" s="88"/>
      <c r="AK81" s="13"/>
    </row>
    <row r="82" spans="1:37" ht="13.5" customHeight="1" x14ac:dyDescent="0.15">
      <c r="A82" s="9"/>
      <c r="B82" s="88"/>
      <c r="C82" s="88"/>
      <c r="D82" s="88"/>
      <c r="E82" s="88"/>
      <c r="F82" s="88"/>
      <c r="G82" s="88"/>
      <c r="H82" s="88"/>
      <c r="I82" s="88"/>
      <c r="J82" s="88"/>
      <c r="K82" s="88"/>
      <c r="L82" s="88"/>
      <c r="M82" s="88"/>
      <c r="N82" s="88"/>
      <c r="O82" s="88"/>
      <c r="P82" s="88"/>
      <c r="Q82" s="88"/>
      <c r="R82" s="88"/>
      <c r="S82" s="88"/>
      <c r="T82" s="88"/>
      <c r="U82" s="88"/>
      <c r="V82" s="88"/>
      <c r="W82" s="88"/>
      <c r="X82" s="88"/>
      <c r="Y82" s="88"/>
      <c r="Z82" s="88"/>
      <c r="AA82" s="88"/>
      <c r="AB82" s="88"/>
      <c r="AC82" s="88"/>
      <c r="AD82" s="88"/>
      <c r="AE82" s="88"/>
      <c r="AF82" s="88"/>
      <c r="AG82" s="88"/>
      <c r="AH82" s="88"/>
      <c r="AI82" s="88"/>
      <c r="AJ82" s="88"/>
      <c r="AK82" s="13"/>
    </row>
    <row r="83" spans="1:37" ht="13.5" customHeight="1" x14ac:dyDescent="0.15">
      <c r="A83" s="9"/>
      <c r="B83" s="88"/>
      <c r="C83" s="88"/>
      <c r="D83" s="88"/>
      <c r="E83" s="88"/>
      <c r="F83" s="88"/>
      <c r="G83" s="88"/>
      <c r="H83" s="88"/>
      <c r="I83" s="88"/>
      <c r="J83" s="88"/>
      <c r="K83" s="88"/>
      <c r="L83" s="88"/>
      <c r="M83" s="88"/>
      <c r="N83" s="88"/>
      <c r="O83" s="88"/>
      <c r="P83" s="88"/>
      <c r="Q83" s="88"/>
      <c r="R83" s="88"/>
      <c r="S83" s="88"/>
      <c r="T83" s="88"/>
      <c r="U83" s="88"/>
      <c r="V83" s="88"/>
      <c r="W83" s="88"/>
      <c r="X83" s="88"/>
      <c r="Y83" s="88"/>
      <c r="Z83" s="88"/>
      <c r="AA83" s="88"/>
      <c r="AB83" s="88"/>
      <c r="AC83" s="88"/>
      <c r="AD83" s="88"/>
      <c r="AE83" s="88"/>
      <c r="AF83" s="88"/>
      <c r="AG83" s="88"/>
      <c r="AH83" s="88"/>
      <c r="AI83" s="88"/>
      <c r="AJ83" s="88"/>
      <c r="AK83" s="13"/>
    </row>
    <row r="84" spans="1:37" ht="13.5" customHeight="1" x14ac:dyDescent="0.15">
      <c r="A84" s="9"/>
      <c r="B84" s="88"/>
      <c r="C84" s="88"/>
      <c r="D84" s="88"/>
      <c r="E84" s="88"/>
      <c r="F84" s="88"/>
      <c r="G84" s="88"/>
      <c r="H84" s="88"/>
      <c r="I84" s="88"/>
      <c r="J84" s="88"/>
      <c r="K84" s="88"/>
      <c r="L84" s="88"/>
      <c r="M84" s="88"/>
      <c r="N84" s="88"/>
      <c r="O84" s="88"/>
      <c r="P84" s="88"/>
      <c r="Q84" s="88"/>
      <c r="R84" s="88"/>
      <c r="S84" s="88"/>
      <c r="T84" s="88"/>
      <c r="U84" s="88"/>
      <c r="V84" s="88"/>
      <c r="W84" s="88"/>
      <c r="X84" s="88"/>
      <c r="Y84" s="88"/>
      <c r="Z84" s="88"/>
      <c r="AA84" s="88"/>
      <c r="AB84" s="88"/>
      <c r="AC84" s="88"/>
      <c r="AD84" s="88"/>
      <c r="AE84" s="88"/>
      <c r="AF84" s="88"/>
      <c r="AG84" s="88"/>
      <c r="AH84" s="88"/>
      <c r="AI84" s="88"/>
      <c r="AJ84" s="88"/>
      <c r="AK84" s="13"/>
    </row>
    <row r="85" spans="1:37" ht="13.5" customHeight="1" x14ac:dyDescent="0.15">
      <c r="A85" s="9"/>
      <c r="B85" s="88"/>
      <c r="C85" s="88"/>
      <c r="D85" s="88"/>
      <c r="E85" s="88"/>
      <c r="F85" s="88"/>
      <c r="G85" s="88"/>
      <c r="H85" s="88"/>
      <c r="I85" s="88"/>
      <c r="J85" s="88"/>
      <c r="K85" s="88"/>
      <c r="L85" s="88"/>
      <c r="M85" s="88"/>
      <c r="N85" s="88"/>
      <c r="O85" s="88"/>
      <c r="P85" s="88"/>
      <c r="Q85" s="88"/>
      <c r="R85" s="88"/>
      <c r="S85" s="88"/>
      <c r="T85" s="88"/>
      <c r="U85" s="88"/>
      <c r="V85" s="88"/>
      <c r="W85" s="88"/>
      <c r="X85" s="88"/>
      <c r="Y85" s="88"/>
      <c r="Z85" s="88"/>
      <c r="AA85" s="88"/>
      <c r="AB85" s="88"/>
      <c r="AC85" s="88"/>
      <c r="AD85" s="88"/>
      <c r="AE85" s="88"/>
      <c r="AF85" s="88"/>
      <c r="AG85" s="88"/>
      <c r="AH85" s="88"/>
      <c r="AI85" s="88"/>
      <c r="AJ85" s="88"/>
      <c r="AK85" s="13"/>
    </row>
    <row r="86" spans="1:37" ht="13.5" customHeight="1" x14ac:dyDescent="0.15">
      <c r="A86" s="9"/>
      <c r="B86" s="88"/>
      <c r="C86" s="88"/>
      <c r="D86" s="88"/>
      <c r="E86" s="88"/>
      <c r="F86" s="88"/>
      <c r="G86" s="88"/>
      <c r="H86" s="88"/>
      <c r="I86" s="88"/>
      <c r="J86" s="88"/>
      <c r="K86" s="88"/>
      <c r="L86" s="88"/>
      <c r="M86" s="88"/>
      <c r="N86" s="88"/>
      <c r="O86" s="88"/>
      <c r="P86" s="88"/>
      <c r="Q86" s="88"/>
      <c r="R86" s="88"/>
      <c r="S86" s="88"/>
      <c r="T86" s="88"/>
      <c r="U86" s="88"/>
      <c r="V86" s="88"/>
      <c r="W86" s="88"/>
      <c r="X86" s="88"/>
      <c r="Y86" s="88"/>
      <c r="Z86" s="88"/>
      <c r="AA86" s="88"/>
      <c r="AB86" s="88"/>
      <c r="AC86" s="88"/>
      <c r="AD86" s="88"/>
      <c r="AE86" s="88"/>
      <c r="AF86" s="88"/>
      <c r="AG86" s="88"/>
      <c r="AH86" s="88"/>
      <c r="AI86" s="88"/>
      <c r="AJ86" s="88"/>
      <c r="AK86" s="13"/>
    </row>
    <row r="87" spans="1:37" ht="13.5" customHeight="1" x14ac:dyDescent="0.15">
      <c r="A87" s="9"/>
      <c r="B87" s="88"/>
      <c r="C87" s="88"/>
      <c r="D87" s="88"/>
      <c r="E87" s="88"/>
      <c r="F87" s="88"/>
      <c r="G87" s="88"/>
      <c r="H87" s="88"/>
      <c r="I87" s="88"/>
      <c r="J87" s="88"/>
      <c r="K87" s="88"/>
      <c r="L87" s="88"/>
      <c r="M87" s="88"/>
      <c r="N87" s="88"/>
      <c r="O87" s="88"/>
      <c r="P87" s="88"/>
      <c r="Q87" s="88"/>
      <c r="R87" s="88"/>
      <c r="S87" s="88"/>
      <c r="T87" s="88"/>
      <c r="U87" s="88"/>
      <c r="V87" s="88"/>
      <c r="W87" s="88"/>
      <c r="X87" s="88"/>
      <c r="Y87" s="88"/>
      <c r="Z87" s="88"/>
      <c r="AA87" s="88"/>
      <c r="AB87" s="88"/>
      <c r="AC87" s="88"/>
      <c r="AD87" s="88"/>
      <c r="AE87" s="88"/>
      <c r="AF87" s="88"/>
      <c r="AG87" s="88"/>
      <c r="AH87" s="88"/>
      <c r="AI87" s="88"/>
      <c r="AJ87" s="88"/>
      <c r="AK87" s="13"/>
    </row>
    <row r="88" spans="1:37" ht="13.5" customHeight="1" x14ac:dyDescent="0.15">
      <c r="A88" s="9"/>
      <c r="B88" s="88"/>
      <c r="C88" s="88"/>
      <c r="D88" s="88"/>
      <c r="E88" s="88"/>
      <c r="F88" s="88"/>
      <c r="G88" s="88"/>
      <c r="H88" s="88"/>
      <c r="I88" s="88"/>
      <c r="J88" s="88"/>
      <c r="K88" s="88"/>
      <c r="L88" s="88"/>
      <c r="M88" s="88"/>
      <c r="N88" s="88"/>
      <c r="O88" s="88"/>
      <c r="P88" s="88"/>
      <c r="Q88" s="88"/>
      <c r="R88" s="88"/>
      <c r="S88" s="88"/>
      <c r="T88" s="88"/>
      <c r="U88" s="88"/>
      <c r="V88" s="88"/>
      <c r="W88" s="88"/>
      <c r="X88" s="88"/>
      <c r="Y88" s="88"/>
      <c r="Z88" s="88"/>
      <c r="AA88" s="88"/>
      <c r="AB88" s="88"/>
      <c r="AC88" s="88"/>
      <c r="AD88" s="88"/>
      <c r="AE88" s="88"/>
      <c r="AF88" s="88"/>
      <c r="AG88" s="88"/>
      <c r="AH88" s="88"/>
      <c r="AI88" s="88"/>
      <c r="AJ88" s="88"/>
      <c r="AK88" s="13"/>
    </row>
    <row r="89" spans="1:37" ht="13.5" customHeight="1" x14ac:dyDescent="0.15">
      <c r="A89" s="9"/>
      <c r="B89" s="88"/>
      <c r="C89" s="88"/>
      <c r="D89" s="88"/>
      <c r="E89" s="88"/>
      <c r="F89" s="88"/>
      <c r="G89" s="88"/>
      <c r="H89" s="88"/>
      <c r="I89" s="88"/>
      <c r="J89" s="88"/>
      <c r="K89" s="88"/>
      <c r="L89" s="88"/>
      <c r="M89" s="88"/>
      <c r="N89" s="88"/>
      <c r="O89" s="88"/>
      <c r="P89" s="88"/>
      <c r="Q89" s="88"/>
      <c r="R89" s="88"/>
      <c r="S89" s="88"/>
      <c r="T89" s="88"/>
      <c r="U89" s="88"/>
      <c r="V89" s="88"/>
      <c r="W89" s="88"/>
      <c r="X89" s="88"/>
      <c r="Y89" s="88"/>
      <c r="Z89" s="88"/>
      <c r="AA89" s="88"/>
      <c r="AB89" s="88"/>
      <c r="AC89" s="88"/>
      <c r="AD89" s="88"/>
      <c r="AE89" s="88"/>
      <c r="AF89" s="88"/>
      <c r="AG89" s="88"/>
      <c r="AH89" s="88"/>
      <c r="AI89" s="88"/>
      <c r="AJ89" s="88"/>
      <c r="AK89" s="13"/>
    </row>
    <row r="90" spans="1:37" ht="13.5" customHeight="1" x14ac:dyDescent="0.15">
      <c r="A90" s="9"/>
      <c r="B90" s="88"/>
      <c r="C90" s="88"/>
      <c r="D90" s="88"/>
      <c r="E90" s="88"/>
      <c r="F90" s="88"/>
      <c r="G90" s="88"/>
      <c r="H90" s="88"/>
      <c r="I90" s="88"/>
      <c r="J90" s="88"/>
      <c r="K90" s="88"/>
      <c r="L90" s="88"/>
      <c r="M90" s="88"/>
      <c r="N90" s="88"/>
      <c r="O90" s="88"/>
      <c r="P90" s="88"/>
      <c r="Q90" s="88"/>
      <c r="R90" s="88"/>
      <c r="S90" s="88"/>
      <c r="T90" s="88"/>
      <c r="U90" s="88"/>
      <c r="V90" s="88"/>
      <c r="W90" s="88"/>
      <c r="X90" s="88"/>
      <c r="Y90" s="88"/>
      <c r="Z90" s="88"/>
      <c r="AA90" s="88"/>
      <c r="AB90" s="88"/>
      <c r="AC90" s="88"/>
      <c r="AD90" s="88"/>
      <c r="AE90" s="88"/>
      <c r="AF90" s="88"/>
      <c r="AG90" s="88"/>
      <c r="AH90" s="88"/>
      <c r="AI90" s="88"/>
      <c r="AJ90" s="88"/>
      <c r="AK90" s="13"/>
    </row>
    <row r="91" spans="1:37" ht="13.5" customHeight="1" x14ac:dyDescent="0.15">
      <c r="A91" s="9"/>
      <c r="B91" s="88"/>
      <c r="C91" s="88"/>
      <c r="D91" s="88"/>
      <c r="E91" s="88"/>
      <c r="F91" s="88"/>
      <c r="G91" s="88"/>
      <c r="H91" s="88"/>
      <c r="I91" s="88"/>
      <c r="J91" s="88"/>
      <c r="K91" s="88"/>
      <c r="L91" s="88"/>
      <c r="M91" s="88"/>
      <c r="N91" s="88"/>
      <c r="O91" s="88"/>
      <c r="P91" s="88"/>
      <c r="Q91" s="88"/>
      <c r="R91" s="88"/>
      <c r="S91" s="88"/>
      <c r="T91" s="88"/>
      <c r="U91" s="88"/>
      <c r="V91" s="88"/>
      <c r="W91" s="88"/>
      <c r="X91" s="88"/>
      <c r="Y91" s="88"/>
      <c r="Z91" s="88"/>
      <c r="AA91" s="88"/>
      <c r="AB91" s="88"/>
      <c r="AC91" s="88"/>
      <c r="AD91" s="88"/>
      <c r="AE91" s="88"/>
      <c r="AF91" s="88"/>
      <c r="AG91" s="88"/>
      <c r="AH91" s="88"/>
      <c r="AI91" s="88"/>
      <c r="AJ91" s="88"/>
      <c r="AK91" s="13"/>
    </row>
    <row r="92" spans="1:37" ht="13.5" customHeight="1" x14ac:dyDescent="0.15">
      <c r="A92" s="9"/>
      <c r="B92" s="88"/>
      <c r="C92" s="88"/>
      <c r="D92" s="88"/>
      <c r="E92" s="88"/>
      <c r="F92" s="88"/>
      <c r="G92" s="88"/>
      <c r="H92" s="88"/>
      <c r="I92" s="88"/>
      <c r="J92" s="88"/>
      <c r="K92" s="88"/>
      <c r="L92" s="88"/>
      <c r="M92" s="88"/>
      <c r="N92" s="88"/>
      <c r="O92" s="88"/>
      <c r="P92" s="88"/>
      <c r="Q92" s="88"/>
      <c r="R92" s="88"/>
      <c r="S92" s="88"/>
      <c r="T92" s="88"/>
      <c r="U92" s="88"/>
      <c r="V92" s="88"/>
      <c r="W92" s="88"/>
      <c r="X92" s="88"/>
      <c r="Y92" s="88"/>
      <c r="Z92" s="88"/>
      <c r="AA92" s="88"/>
      <c r="AB92" s="88"/>
      <c r="AC92" s="88"/>
      <c r="AD92" s="88"/>
      <c r="AE92" s="88"/>
      <c r="AF92" s="88"/>
      <c r="AG92" s="88"/>
      <c r="AH92" s="88"/>
      <c r="AI92" s="88"/>
      <c r="AJ92" s="88"/>
      <c r="AK92" s="13"/>
    </row>
    <row r="93" spans="1:37" ht="13.5" customHeight="1" x14ac:dyDescent="0.15">
      <c r="A93" s="9"/>
      <c r="B93" s="88"/>
      <c r="C93" s="88"/>
      <c r="D93" s="88"/>
      <c r="E93" s="88"/>
      <c r="F93" s="88"/>
      <c r="G93" s="88"/>
      <c r="H93" s="88"/>
      <c r="I93" s="88"/>
      <c r="J93" s="88"/>
      <c r="K93" s="88"/>
      <c r="L93" s="88"/>
      <c r="M93" s="88"/>
      <c r="N93" s="88"/>
      <c r="O93" s="88"/>
      <c r="P93" s="88"/>
      <c r="Q93" s="88"/>
      <c r="R93" s="88"/>
      <c r="S93" s="88"/>
      <c r="T93" s="88"/>
      <c r="U93" s="88"/>
      <c r="V93" s="88"/>
      <c r="W93" s="88"/>
      <c r="X93" s="88"/>
      <c r="Y93" s="88"/>
      <c r="Z93" s="88"/>
      <c r="AA93" s="88"/>
      <c r="AB93" s="88"/>
      <c r="AC93" s="88"/>
      <c r="AD93" s="88"/>
      <c r="AE93" s="88"/>
      <c r="AF93" s="88"/>
      <c r="AG93" s="88"/>
      <c r="AH93" s="88"/>
      <c r="AI93" s="88"/>
      <c r="AJ93" s="88"/>
      <c r="AK93" s="13"/>
    </row>
    <row r="94" spans="1:37" ht="13.5" customHeight="1" x14ac:dyDescent="0.15">
      <c r="A94" s="9"/>
      <c r="B94" s="88"/>
      <c r="C94" s="88"/>
      <c r="D94" s="88"/>
      <c r="E94" s="88"/>
      <c r="F94" s="88"/>
      <c r="G94" s="88"/>
      <c r="H94" s="88"/>
      <c r="I94" s="88"/>
      <c r="J94" s="88"/>
      <c r="K94" s="88"/>
      <c r="L94" s="88"/>
      <c r="M94" s="88"/>
      <c r="N94" s="88"/>
      <c r="O94" s="88"/>
      <c r="P94" s="88"/>
      <c r="Q94" s="88"/>
      <c r="R94" s="88"/>
      <c r="S94" s="88"/>
      <c r="T94" s="88"/>
      <c r="U94" s="88"/>
      <c r="V94" s="88"/>
      <c r="W94" s="88"/>
      <c r="X94" s="88"/>
      <c r="Y94" s="88"/>
      <c r="Z94" s="88"/>
      <c r="AA94" s="88"/>
      <c r="AB94" s="88"/>
      <c r="AC94" s="88"/>
      <c r="AD94" s="88"/>
      <c r="AE94" s="88"/>
      <c r="AF94" s="88"/>
      <c r="AG94" s="88"/>
      <c r="AH94" s="88"/>
      <c r="AI94" s="88"/>
      <c r="AJ94" s="88"/>
      <c r="AK94" s="13"/>
    </row>
    <row r="95" spans="1:37" ht="13.5" customHeight="1" x14ac:dyDescent="0.15">
      <c r="A95" s="9"/>
      <c r="B95" s="88"/>
      <c r="C95" s="88"/>
      <c r="D95" s="88"/>
      <c r="E95" s="88"/>
      <c r="F95" s="88"/>
      <c r="G95" s="88"/>
      <c r="H95" s="88"/>
      <c r="I95" s="88"/>
      <c r="J95" s="88"/>
      <c r="K95" s="88"/>
      <c r="L95" s="88"/>
      <c r="M95" s="88"/>
      <c r="N95" s="88"/>
      <c r="O95" s="88"/>
      <c r="P95" s="88"/>
      <c r="Q95" s="88"/>
      <c r="R95" s="88"/>
      <c r="S95" s="88"/>
      <c r="T95" s="88"/>
      <c r="U95" s="88"/>
      <c r="V95" s="88"/>
      <c r="W95" s="88"/>
      <c r="X95" s="88"/>
      <c r="Y95" s="88"/>
      <c r="Z95" s="88"/>
      <c r="AA95" s="88"/>
      <c r="AB95" s="88"/>
      <c r="AC95" s="88"/>
      <c r="AD95" s="88"/>
      <c r="AE95" s="88"/>
      <c r="AF95" s="88"/>
      <c r="AG95" s="88"/>
      <c r="AH95" s="88"/>
      <c r="AI95" s="88"/>
      <c r="AJ95" s="88"/>
      <c r="AK95" s="13"/>
    </row>
    <row r="96" spans="1:37" ht="13.5" customHeight="1" x14ac:dyDescent="0.15">
      <c r="A96" s="9"/>
      <c r="B96" s="88"/>
      <c r="C96" s="88"/>
      <c r="D96" s="88"/>
      <c r="E96" s="88"/>
      <c r="F96" s="88"/>
      <c r="G96" s="88"/>
      <c r="H96" s="88"/>
      <c r="I96" s="88"/>
      <c r="J96" s="88"/>
      <c r="K96" s="88"/>
      <c r="L96" s="88"/>
      <c r="M96" s="88"/>
      <c r="N96" s="88"/>
      <c r="O96" s="88"/>
      <c r="P96" s="88"/>
      <c r="Q96" s="88"/>
      <c r="R96" s="88"/>
      <c r="S96" s="88"/>
      <c r="T96" s="88"/>
      <c r="U96" s="88"/>
      <c r="V96" s="88"/>
      <c r="W96" s="88"/>
      <c r="X96" s="88"/>
      <c r="Y96" s="88"/>
      <c r="Z96" s="88"/>
      <c r="AA96" s="88"/>
      <c r="AB96" s="88"/>
      <c r="AC96" s="88"/>
      <c r="AD96" s="88"/>
      <c r="AE96" s="88"/>
      <c r="AF96" s="88"/>
      <c r="AG96" s="88"/>
      <c r="AH96" s="88"/>
      <c r="AI96" s="88"/>
      <c r="AJ96" s="88"/>
      <c r="AK96" s="13"/>
    </row>
    <row r="97" spans="1:37" ht="13.5" customHeight="1" x14ac:dyDescent="0.15">
      <c r="A97" s="9"/>
      <c r="B97" s="88"/>
      <c r="C97" s="88"/>
      <c r="D97" s="88"/>
      <c r="E97" s="88"/>
      <c r="F97" s="88"/>
      <c r="G97" s="88"/>
      <c r="H97" s="88"/>
      <c r="I97" s="88"/>
      <c r="J97" s="88"/>
      <c r="K97" s="88"/>
      <c r="L97" s="88"/>
      <c r="M97" s="88"/>
      <c r="N97" s="88"/>
      <c r="O97" s="88"/>
      <c r="P97" s="88"/>
      <c r="Q97" s="88"/>
      <c r="R97" s="88"/>
      <c r="S97" s="88"/>
      <c r="T97" s="88"/>
      <c r="U97" s="88"/>
      <c r="V97" s="88"/>
      <c r="W97" s="88"/>
      <c r="X97" s="88"/>
      <c r="Y97" s="88"/>
      <c r="Z97" s="88"/>
      <c r="AA97" s="88"/>
      <c r="AB97" s="88"/>
      <c r="AC97" s="88"/>
      <c r="AD97" s="88"/>
      <c r="AE97" s="88"/>
      <c r="AF97" s="88"/>
      <c r="AG97" s="88"/>
      <c r="AH97" s="88"/>
      <c r="AI97" s="88"/>
      <c r="AJ97" s="88"/>
      <c r="AK97" s="13"/>
    </row>
    <row r="98" spans="1:37" ht="13.5" customHeight="1" x14ac:dyDescent="0.15">
      <c r="A98" s="9"/>
      <c r="B98" s="88"/>
      <c r="C98" s="88"/>
      <c r="D98" s="88"/>
      <c r="E98" s="88"/>
      <c r="F98" s="88"/>
      <c r="G98" s="88"/>
      <c r="H98" s="88"/>
      <c r="I98" s="88"/>
      <c r="J98" s="88"/>
      <c r="K98" s="88"/>
      <c r="L98" s="88"/>
      <c r="M98" s="88"/>
      <c r="N98" s="88"/>
      <c r="O98" s="88"/>
      <c r="P98" s="88"/>
      <c r="Q98" s="88"/>
      <c r="R98" s="88"/>
      <c r="S98" s="88"/>
      <c r="T98" s="88"/>
      <c r="U98" s="88"/>
      <c r="V98" s="88"/>
      <c r="W98" s="88"/>
      <c r="X98" s="88"/>
      <c r="Y98" s="88"/>
      <c r="Z98" s="88"/>
      <c r="AA98" s="88"/>
      <c r="AB98" s="88"/>
      <c r="AC98" s="88"/>
      <c r="AD98" s="88"/>
      <c r="AE98" s="88"/>
      <c r="AF98" s="88"/>
      <c r="AG98" s="88"/>
      <c r="AH98" s="88"/>
      <c r="AI98" s="88"/>
      <c r="AJ98" s="88"/>
      <c r="AK98" s="13"/>
    </row>
    <row r="99" spans="1:37" ht="13.5" customHeight="1" x14ac:dyDescent="0.15">
      <c r="A99" s="9"/>
      <c r="B99" s="88"/>
      <c r="C99" s="88"/>
      <c r="D99" s="88"/>
      <c r="E99" s="88"/>
      <c r="F99" s="88"/>
      <c r="G99" s="88"/>
      <c r="H99" s="88"/>
      <c r="I99" s="88"/>
      <c r="J99" s="88"/>
      <c r="K99" s="88"/>
      <c r="L99" s="88"/>
      <c r="M99" s="88"/>
      <c r="N99" s="88"/>
      <c r="O99" s="88"/>
      <c r="P99" s="88"/>
      <c r="Q99" s="88"/>
      <c r="R99" s="88"/>
      <c r="S99" s="88"/>
      <c r="T99" s="88"/>
      <c r="U99" s="88"/>
      <c r="V99" s="88"/>
      <c r="W99" s="88"/>
      <c r="X99" s="88"/>
      <c r="Y99" s="88"/>
      <c r="Z99" s="88"/>
      <c r="AA99" s="88"/>
      <c r="AB99" s="88"/>
      <c r="AC99" s="88"/>
      <c r="AD99" s="88"/>
      <c r="AE99" s="88"/>
      <c r="AF99" s="88"/>
      <c r="AG99" s="88"/>
      <c r="AH99" s="88"/>
      <c r="AI99" s="88"/>
      <c r="AJ99" s="88"/>
      <c r="AK99" s="13"/>
    </row>
    <row r="100" spans="1:37" ht="13.5" customHeight="1" x14ac:dyDescent="0.15">
      <c r="A100" s="9"/>
      <c r="B100" s="88"/>
      <c r="C100" s="88"/>
      <c r="D100" s="88"/>
      <c r="E100" s="88"/>
      <c r="F100" s="88"/>
      <c r="G100" s="88"/>
      <c r="H100" s="88"/>
      <c r="I100" s="88"/>
      <c r="J100" s="88"/>
      <c r="K100" s="88"/>
      <c r="L100" s="88"/>
      <c r="M100" s="88"/>
      <c r="N100" s="88"/>
      <c r="O100" s="88"/>
      <c r="P100" s="88"/>
      <c r="Q100" s="88"/>
      <c r="R100" s="88"/>
      <c r="S100" s="88"/>
      <c r="T100" s="88"/>
      <c r="U100" s="88"/>
      <c r="V100" s="88"/>
      <c r="W100" s="88"/>
      <c r="X100" s="88"/>
      <c r="Y100" s="88"/>
      <c r="Z100" s="88"/>
      <c r="AA100" s="88"/>
      <c r="AB100" s="88"/>
      <c r="AC100" s="88"/>
      <c r="AD100" s="88"/>
      <c r="AE100" s="88"/>
      <c r="AF100" s="88"/>
      <c r="AG100" s="88"/>
      <c r="AH100" s="88"/>
      <c r="AI100" s="88"/>
      <c r="AJ100" s="88"/>
      <c r="AK100" s="13"/>
    </row>
    <row r="101" spans="1:37" ht="13.5" customHeight="1" x14ac:dyDescent="0.15">
      <c r="A101" s="9"/>
      <c r="B101" s="88"/>
      <c r="C101" s="88"/>
      <c r="D101" s="88"/>
      <c r="E101" s="88"/>
      <c r="F101" s="88"/>
      <c r="G101" s="88"/>
      <c r="H101" s="88"/>
      <c r="I101" s="88"/>
      <c r="J101" s="88"/>
      <c r="K101" s="88"/>
      <c r="L101" s="88"/>
      <c r="M101" s="88"/>
      <c r="N101" s="88"/>
      <c r="O101" s="88"/>
      <c r="P101" s="88"/>
      <c r="Q101" s="88"/>
      <c r="R101" s="88"/>
      <c r="S101" s="88"/>
      <c r="T101" s="88"/>
      <c r="U101" s="88"/>
      <c r="V101" s="88"/>
      <c r="W101" s="88"/>
      <c r="X101" s="88"/>
      <c r="Y101" s="88"/>
      <c r="Z101" s="88"/>
      <c r="AA101" s="88"/>
      <c r="AB101" s="88"/>
      <c r="AC101" s="88"/>
      <c r="AD101" s="88"/>
      <c r="AE101" s="88"/>
      <c r="AF101" s="88"/>
      <c r="AG101" s="88"/>
      <c r="AH101" s="88"/>
      <c r="AI101" s="88"/>
      <c r="AJ101" s="88"/>
      <c r="AK101" s="13"/>
    </row>
    <row r="102" spans="1:37" ht="13.5" customHeight="1" x14ac:dyDescent="0.15">
      <c r="A102" s="9"/>
      <c r="B102" s="88"/>
      <c r="C102" s="88"/>
      <c r="D102" s="88"/>
      <c r="E102" s="88"/>
      <c r="F102" s="88"/>
      <c r="G102" s="88"/>
      <c r="H102" s="88"/>
      <c r="I102" s="88"/>
      <c r="J102" s="88"/>
      <c r="K102" s="88"/>
      <c r="L102" s="88"/>
      <c r="M102" s="88"/>
      <c r="N102" s="88"/>
      <c r="O102" s="88"/>
      <c r="P102" s="88"/>
      <c r="Q102" s="88"/>
      <c r="R102" s="88"/>
      <c r="S102" s="88"/>
      <c r="T102" s="88"/>
      <c r="U102" s="88"/>
      <c r="V102" s="88"/>
      <c r="W102" s="88"/>
      <c r="X102" s="88"/>
      <c r="Y102" s="88"/>
      <c r="Z102" s="88"/>
      <c r="AA102" s="88"/>
      <c r="AB102" s="88"/>
      <c r="AC102" s="88"/>
      <c r="AD102" s="88"/>
      <c r="AE102" s="88"/>
      <c r="AF102" s="88"/>
      <c r="AG102" s="88"/>
      <c r="AH102" s="88"/>
      <c r="AI102" s="88"/>
      <c r="AJ102" s="88"/>
      <c r="AK102" s="13"/>
    </row>
    <row r="103" spans="1:37" ht="13.5" customHeight="1" x14ac:dyDescent="0.15">
      <c r="A103" s="9"/>
      <c r="B103" s="88"/>
      <c r="C103" s="88"/>
      <c r="D103" s="88"/>
      <c r="E103" s="88"/>
      <c r="F103" s="88"/>
      <c r="G103" s="88"/>
      <c r="H103" s="88"/>
      <c r="I103" s="88"/>
      <c r="J103" s="88"/>
      <c r="K103" s="88"/>
      <c r="L103" s="88"/>
      <c r="M103" s="88"/>
      <c r="N103" s="88"/>
      <c r="O103" s="88"/>
      <c r="P103" s="88"/>
      <c r="Q103" s="88"/>
      <c r="R103" s="88"/>
      <c r="S103" s="88"/>
      <c r="T103" s="88"/>
      <c r="U103" s="88"/>
      <c r="V103" s="88"/>
      <c r="W103" s="88"/>
      <c r="X103" s="88"/>
      <c r="Y103" s="88"/>
      <c r="Z103" s="88"/>
      <c r="AA103" s="88"/>
      <c r="AB103" s="88"/>
      <c r="AC103" s="88"/>
      <c r="AD103" s="88"/>
      <c r="AE103" s="88"/>
      <c r="AF103" s="88"/>
      <c r="AG103" s="88"/>
      <c r="AH103" s="88"/>
      <c r="AI103" s="88"/>
      <c r="AJ103" s="88"/>
      <c r="AK103" s="13"/>
    </row>
    <row r="104" spans="1:37" ht="13.5" customHeight="1" x14ac:dyDescent="0.15">
      <c r="A104" s="9"/>
      <c r="B104" s="88"/>
      <c r="C104" s="88"/>
      <c r="D104" s="88"/>
      <c r="E104" s="88"/>
      <c r="F104" s="88"/>
      <c r="G104" s="88"/>
      <c r="H104" s="88"/>
      <c r="I104" s="88"/>
      <c r="J104" s="88"/>
      <c r="K104" s="88"/>
      <c r="L104" s="88"/>
      <c r="M104" s="88"/>
      <c r="N104" s="88"/>
      <c r="O104" s="88"/>
      <c r="P104" s="88"/>
      <c r="Q104" s="88"/>
      <c r="R104" s="88"/>
      <c r="S104" s="88"/>
      <c r="T104" s="88"/>
      <c r="U104" s="88"/>
      <c r="V104" s="88"/>
      <c r="W104" s="88"/>
      <c r="X104" s="88"/>
      <c r="Y104" s="88"/>
      <c r="Z104" s="88"/>
      <c r="AA104" s="88"/>
      <c r="AB104" s="88"/>
      <c r="AC104" s="88"/>
      <c r="AD104" s="88"/>
      <c r="AE104" s="88"/>
      <c r="AF104" s="88"/>
      <c r="AG104" s="88"/>
      <c r="AH104" s="88"/>
      <c r="AI104" s="88"/>
      <c r="AJ104" s="88"/>
      <c r="AK104" s="13"/>
    </row>
    <row r="105" spans="1:37" ht="13.5" customHeight="1" x14ac:dyDescent="0.15">
      <c r="A105" s="9"/>
      <c r="B105" s="88"/>
      <c r="C105" s="88"/>
      <c r="D105" s="88"/>
      <c r="E105" s="88"/>
      <c r="F105" s="88"/>
      <c r="G105" s="88"/>
      <c r="H105" s="88"/>
      <c r="I105" s="88"/>
      <c r="J105" s="88"/>
      <c r="K105" s="88"/>
      <c r="L105" s="88"/>
      <c r="M105" s="88"/>
      <c r="N105" s="88"/>
      <c r="O105" s="88"/>
      <c r="P105" s="88"/>
      <c r="Q105" s="88"/>
      <c r="R105" s="88"/>
      <c r="S105" s="88"/>
      <c r="T105" s="88"/>
      <c r="U105" s="88"/>
      <c r="V105" s="88"/>
      <c r="W105" s="88"/>
      <c r="X105" s="88"/>
      <c r="Y105" s="88"/>
      <c r="Z105" s="88"/>
      <c r="AA105" s="88"/>
      <c r="AB105" s="88"/>
      <c r="AC105" s="88"/>
      <c r="AD105" s="88"/>
      <c r="AE105" s="88"/>
      <c r="AF105" s="88"/>
      <c r="AG105" s="88"/>
      <c r="AH105" s="88"/>
      <c r="AI105" s="88"/>
      <c r="AJ105" s="88"/>
      <c r="AK105" s="13"/>
    </row>
    <row r="106" spans="1:37" ht="13.5" customHeight="1" x14ac:dyDescent="0.15">
      <c r="A106" s="9"/>
      <c r="B106" s="88"/>
      <c r="C106" s="88"/>
      <c r="D106" s="88"/>
      <c r="E106" s="88"/>
      <c r="F106" s="88"/>
      <c r="G106" s="88"/>
      <c r="H106" s="88"/>
      <c r="I106" s="88"/>
      <c r="J106" s="88"/>
      <c r="K106" s="88"/>
      <c r="L106" s="88"/>
      <c r="M106" s="88"/>
      <c r="N106" s="88"/>
      <c r="O106" s="88"/>
      <c r="P106" s="88"/>
      <c r="Q106" s="88"/>
      <c r="R106" s="88"/>
      <c r="S106" s="88"/>
      <c r="T106" s="88"/>
      <c r="U106" s="88"/>
      <c r="V106" s="88"/>
      <c r="W106" s="88"/>
      <c r="X106" s="88"/>
      <c r="Y106" s="88"/>
      <c r="Z106" s="88"/>
      <c r="AA106" s="88"/>
      <c r="AB106" s="88"/>
      <c r="AC106" s="88"/>
      <c r="AD106" s="88"/>
      <c r="AE106" s="88"/>
      <c r="AF106" s="88"/>
      <c r="AG106" s="88"/>
      <c r="AH106" s="88"/>
      <c r="AI106" s="88"/>
      <c r="AJ106" s="88"/>
      <c r="AK106" s="13"/>
    </row>
    <row r="107" spans="1:37" ht="13.5" customHeight="1" x14ac:dyDescent="0.15">
      <c r="A107" s="9"/>
      <c r="B107" s="88"/>
      <c r="C107" s="88"/>
      <c r="D107" s="88"/>
      <c r="E107" s="88"/>
      <c r="F107" s="88"/>
      <c r="G107" s="88"/>
      <c r="H107" s="88"/>
      <c r="I107" s="88"/>
      <c r="J107" s="88"/>
      <c r="K107" s="88"/>
      <c r="L107" s="88"/>
      <c r="M107" s="88"/>
      <c r="N107" s="88"/>
      <c r="O107" s="88"/>
      <c r="P107" s="88"/>
      <c r="Q107" s="88"/>
      <c r="R107" s="88"/>
      <c r="S107" s="88"/>
      <c r="T107" s="88"/>
      <c r="U107" s="88"/>
      <c r="V107" s="88"/>
      <c r="W107" s="11"/>
      <c r="X107" s="88"/>
      <c r="Y107" s="88"/>
      <c r="Z107" s="88"/>
      <c r="AA107" s="88"/>
      <c r="AB107" s="88"/>
      <c r="AC107" s="88"/>
      <c r="AD107" s="88"/>
      <c r="AE107" s="88"/>
      <c r="AF107" s="88"/>
      <c r="AG107" s="88"/>
      <c r="AH107" s="88"/>
      <c r="AI107" s="88"/>
      <c r="AJ107" s="88"/>
      <c r="AK107" s="13"/>
    </row>
    <row r="108" spans="1:37" ht="13.5" customHeight="1" x14ac:dyDescent="0.15">
      <c r="A108" s="9"/>
      <c r="B108" s="88"/>
      <c r="C108" s="88"/>
      <c r="D108" s="88"/>
      <c r="E108" s="88"/>
      <c r="F108" s="88"/>
      <c r="G108" s="88"/>
      <c r="H108" s="88"/>
      <c r="I108" s="88"/>
      <c r="J108" s="88"/>
      <c r="K108" s="88"/>
      <c r="L108" s="88"/>
      <c r="M108" s="88"/>
      <c r="N108" s="88"/>
      <c r="O108" s="88"/>
      <c r="P108" s="88"/>
      <c r="Q108" s="88"/>
      <c r="R108" s="88"/>
      <c r="S108" s="88"/>
      <c r="T108" s="88"/>
      <c r="U108" s="88"/>
      <c r="V108" s="88"/>
      <c r="W108" s="11"/>
      <c r="X108" s="88"/>
      <c r="Y108" s="88"/>
      <c r="Z108" s="88"/>
      <c r="AA108" s="88"/>
      <c r="AB108" s="88"/>
      <c r="AC108" s="88"/>
      <c r="AD108" s="88"/>
      <c r="AE108" s="88"/>
      <c r="AF108" s="88"/>
      <c r="AG108" s="88"/>
      <c r="AH108" s="88"/>
      <c r="AI108" s="88"/>
      <c r="AJ108" s="88"/>
      <c r="AK108" s="13"/>
    </row>
    <row r="109" spans="1:37" ht="13.5" customHeight="1" x14ac:dyDescent="0.15">
      <c r="A109" s="9"/>
      <c r="B109" s="88"/>
      <c r="C109" s="88"/>
      <c r="D109" s="88"/>
      <c r="E109" s="88"/>
      <c r="F109" s="88"/>
      <c r="G109" s="88"/>
      <c r="H109" s="88"/>
      <c r="I109" s="88"/>
      <c r="J109" s="88"/>
      <c r="K109" s="88"/>
      <c r="L109" s="88"/>
      <c r="M109" s="88"/>
      <c r="N109" s="88"/>
      <c r="O109" s="88"/>
      <c r="P109" s="88"/>
      <c r="Q109" s="88"/>
      <c r="R109" s="88"/>
      <c r="S109" s="88"/>
      <c r="T109" s="88"/>
      <c r="U109" s="88"/>
      <c r="V109" s="88"/>
      <c r="W109" s="11"/>
      <c r="X109" s="88"/>
      <c r="Y109" s="88"/>
      <c r="Z109" s="88"/>
      <c r="AA109" s="88"/>
      <c r="AB109" s="88"/>
      <c r="AC109" s="88"/>
      <c r="AD109" s="88"/>
      <c r="AE109" s="88"/>
      <c r="AF109" s="88"/>
      <c r="AG109" s="88"/>
      <c r="AH109" s="11"/>
      <c r="AI109" s="11"/>
      <c r="AJ109" s="11"/>
      <c r="AK109" s="13"/>
    </row>
    <row r="110" spans="1:37" ht="13.5" customHeight="1" x14ac:dyDescent="0.15">
      <c r="A110" s="9"/>
      <c r="B110" s="88"/>
      <c r="C110" s="88"/>
      <c r="D110" s="88"/>
      <c r="E110" s="88"/>
      <c r="F110" s="88"/>
      <c r="G110" s="88"/>
      <c r="H110" s="88"/>
      <c r="I110" s="88"/>
      <c r="J110" s="88"/>
      <c r="K110" s="88"/>
      <c r="L110" s="88"/>
      <c r="M110" s="88"/>
      <c r="N110" s="88"/>
      <c r="O110" s="88"/>
      <c r="P110" s="88"/>
      <c r="Q110" s="88"/>
      <c r="R110" s="88"/>
      <c r="S110" s="88"/>
      <c r="T110" s="88"/>
      <c r="U110" s="88"/>
      <c r="V110" s="88"/>
      <c r="W110" s="11"/>
      <c r="X110" s="88"/>
      <c r="Y110" s="88"/>
      <c r="Z110" s="88"/>
      <c r="AA110" s="88"/>
      <c r="AB110" s="88"/>
      <c r="AC110" s="88"/>
      <c r="AD110" s="88"/>
      <c r="AE110" s="88"/>
      <c r="AF110" s="88"/>
      <c r="AG110" s="88"/>
      <c r="AH110" s="11"/>
      <c r="AI110" s="11"/>
      <c r="AJ110" s="11"/>
      <c r="AK110" s="13"/>
    </row>
    <row r="111" spans="1:37" ht="13.5" customHeight="1" x14ac:dyDescent="0.15">
      <c r="A111" s="9"/>
      <c r="B111" s="88"/>
      <c r="C111" s="88"/>
      <c r="D111" s="88"/>
      <c r="E111" s="88"/>
      <c r="F111" s="88"/>
      <c r="G111" s="88"/>
      <c r="H111" s="88"/>
      <c r="I111" s="88"/>
      <c r="J111" s="88"/>
      <c r="K111" s="88"/>
      <c r="L111" s="88"/>
      <c r="M111" s="88"/>
      <c r="N111" s="88"/>
      <c r="O111" s="88"/>
      <c r="P111" s="88"/>
      <c r="Q111" s="88"/>
      <c r="R111" s="88"/>
      <c r="S111" s="88"/>
      <c r="T111" s="88"/>
      <c r="U111" s="88"/>
      <c r="V111" s="88"/>
      <c r="W111" s="11"/>
      <c r="X111" s="88"/>
      <c r="Y111" s="88"/>
      <c r="Z111" s="88"/>
      <c r="AA111" s="88"/>
      <c r="AB111" s="88"/>
      <c r="AC111" s="88"/>
      <c r="AD111" s="88"/>
      <c r="AE111" s="88"/>
      <c r="AF111" s="88"/>
      <c r="AG111" s="88"/>
      <c r="AH111" s="11"/>
      <c r="AI111" s="11"/>
      <c r="AJ111" s="11"/>
      <c r="AK111" s="13"/>
    </row>
    <row r="112" spans="1:37" ht="13.5" customHeight="1" x14ac:dyDescent="0.15">
      <c r="A112" s="9"/>
      <c r="B112" s="88"/>
      <c r="C112" s="88"/>
      <c r="D112" s="88"/>
      <c r="E112" s="88"/>
      <c r="F112" s="88"/>
      <c r="G112" s="88"/>
      <c r="H112" s="88"/>
      <c r="I112" s="88"/>
      <c r="J112" s="88"/>
      <c r="K112" s="88"/>
      <c r="L112" s="88"/>
      <c r="M112" s="88"/>
      <c r="N112" s="88"/>
      <c r="O112" s="88"/>
      <c r="P112" s="88"/>
      <c r="Q112" s="88"/>
      <c r="R112" s="88"/>
      <c r="S112" s="88"/>
      <c r="T112" s="88"/>
      <c r="U112" s="88"/>
      <c r="V112" s="88"/>
      <c r="W112" s="11"/>
      <c r="X112" s="88"/>
      <c r="Y112" s="88"/>
      <c r="Z112" s="88"/>
      <c r="AA112" s="88"/>
      <c r="AB112" s="88"/>
      <c r="AC112" s="88"/>
      <c r="AD112" s="88"/>
      <c r="AE112" s="88"/>
      <c r="AF112" s="88"/>
      <c r="AG112" s="88"/>
      <c r="AH112" s="11"/>
      <c r="AI112" s="11"/>
      <c r="AJ112" s="11"/>
      <c r="AK112" s="13"/>
    </row>
    <row r="113" spans="1:37" ht="13.5" customHeight="1" x14ac:dyDescent="0.15">
      <c r="A113" s="9"/>
      <c r="B113" s="88"/>
      <c r="C113" s="88"/>
      <c r="D113" s="88"/>
      <c r="E113" s="88"/>
      <c r="F113" s="88"/>
      <c r="G113" s="88"/>
      <c r="H113" s="88"/>
      <c r="I113" s="88"/>
      <c r="J113" s="88"/>
      <c r="K113" s="88"/>
      <c r="L113" s="88"/>
      <c r="M113" s="88"/>
      <c r="N113" s="88"/>
      <c r="O113" s="88"/>
      <c r="P113" s="88"/>
      <c r="Q113" s="88"/>
      <c r="R113" s="88"/>
      <c r="S113" s="88"/>
      <c r="T113" s="88"/>
      <c r="U113" s="88"/>
      <c r="V113" s="88"/>
      <c r="W113" s="11"/>
      <c r="X113" s="88"/>
      <c r="Y113" s="88"/>
      <c r="Z113" s="88"/>
      <c r="AA113" s="88"/>
      <c r="AB113" s="88"/>
      <c r="AC113" s="88"/>
      <c r="AD113" s="88"/>
      <c r="AE113" s="88"/>
      <c r="AF113" s="88"/>
      <c r="AG113" s="88"/>
      <c r="AH113" s="11"/>
      <c r="AI113" s="11"/>
      <c r="AJ113" s="11"/>
      <c r="AK113" s="13"/>
    </row>
    <row r="114" spans="1:37" ht="13.5" customHeight="1" x14ac:dyDescent="0.15">
      <c r="A114" s="9"/>
      <c r="B114" s="88"/>
      <c r="C114" s="88"/>
      <c r="D114" s="88"/>
      <c r="E114" s="88"/>
      <c r="F114" s="88"/>
      <c r="G114" s="88"/>
      <c r="H114" s="88"/>
      <c r="I114" s="88"/>
      <c r="J114" s="88"/>
      <c r="K114" s="88"/>
      <c r="L114" s="88"/>
      <c r="M114" s="88"/>
      <c r="N114" s="88"/>
      <c r="O114" s="88"/>
      <c r="P114" s="88"/>
      <c r="Q114" s="88"/>
      <c r="R114" s="88"/>
      <c r="S114" s="88"/>
      <c r="T114" s="88"/>
      <c r="U114" s="88"/>
      <c r="V114" s="88"/>
      <c r="W114" s="11"/>
      <c r="X114" s="88"/>
      <c r="Y114" s="88"/>
      <c r="Z114" s="88"/>
      <c r="AA114" s="88"/>
      <c r="AB114" s="88"/>
      <c r="AC114" s="88"/>
      <c r="AD114" s="88"/>
      <c r="AE114" s="88"/>
      <c r="AF114" s="88"/>
      <c r="AG114" s="88"/>
      <c r="AH114" s="11"/>
      <c r="AI114" s="89"/>
      <c r="AJ114" s="121" t="s">
        <v>166</v>
      </c>
      <c r="AK114" s="91"/>
    </row>
    <row r="115" spans="1:37" ht="13.5" customHeight="1" x14ac:dyDescent="0.15">
      <c r="A115" s="9"/>
      <c r="B115" s="88"/>
      <c r="C115" s="88"/>
      <c r="D115" s="88"/>
      <c r="E115" s="88"/>
      <c r="F115" s="88"/>
      <c r="G115" s="88"/>
      <c r="H115" s="88"/>
      <c r="I115" s="88"/>
      <c r="J115" s="88"/>
      <c r="K115" s="88"/>
      <c r="L115" s="88"/>
      <c r="M115" s="88"/>
      <c r="N115" s="88"/>
      <c r="O115" s="88"/>
      <c r="P115" s="88"/>
      <c r="Q115" s="88"/>
      <c r="R115" s="88"/>
      <c r="S115" s="88"/>
      <c r="T115" s="88"/>
      <c r="U115" s="88"/>
      <c r="V115" s="88"/>
      <c r="W115" s="88"/>
      <c r="X115" s="88"/>
      <c r="Y115" s="88"/>
      <c r="Z115" s="88"/>
      <c r="AA115" s="88"/>
      <c r="AB115" s="88"/>
      <c r="AC115" s="88"/>
      <c r="AD115" s="88"/>
      <c r="AE115" s="88"/>
      <c r="AF115" s="88"/>
      <c r="AG115" s="88"/>
      <c r="AH115" s="11"/>
      <c r="AI115" s="122"/>
      <c r="AJ115" s="123"/>
      <c r="AK115" s="124" t="s">
        <v>204</v>
      </c>
    </row>
    <row r="116" spans="1:37" ht="13.5" customHeight="1" x14ac:dyDescent="0.15">
      <c r="A116" s="9"/>
      <c r="B116" s="88"/>
      <c r="C116" s="88"/>
      <c r="D116" s="88"/>
      <c r="E116" s="88"/>
      <c r="F116" s="88"/>
      <c r="G116" s="88"/>
      <c r="H116" s="88"/>
      <c r="I116" s="88"/>
      <c r="J116" s="88"/>
      <c r="K116" s="88"/>
      <c r="L116" s="88"/>
      <c r="M116" s="88"/>
      <c r="N116" s="88"/>
      <c r="O116" s="88"/>
      <c r="P116" s="88"/>
      <c r="Q116" s="88"/>
      <c r="R116" s="88"/>
      <c r="S116" s="88"/>
      <c r="T116" s="88"/>
      <c r="U116" s="88"/>
      <c r="V116" s="88"/>
      <c r="W116" s="88"/>
      <c r="X116" s="88"/>
      <c r="Y116" s="88"/>
      <c r="Z116" s="88"/>
      <c r="AA116" s="88"/>
      <c r="AB116" s="88"/>
      <c r="AC116" s="88"/>
      <c r="AD116" s="88"/>
      <c r="AE116" s="88"/>
      <c r="AF116" s="88"/>
      <c r="AG116" s="88"/>
      <c r="AH116" s="88"/>
      <c r="AI116" s="125"/>
      <c r="AJ116" s="88"/>
      <c r="AK116" s="126"/>
    </row>
    <row r="117" spans="1:37" ht="13.5" customHeight="1" x14ac:dyDescent="0.15">
      <c r="A117" s="9"/>
      <c r="B117" s="88"/>
      <c r="C117" s="88"/>
      <c r="D117" s="88"/>
      <c r="E117" s="88"/>
      <c r="F117" s="88"/>
      <c r="G117" s="88"/>
      <c r="H117" s="88"/>
      <c r="I117" s="88"/>
      <c r="J117" s="88"/>
      <c r="K117" s="88"/>
      <c r="L117" s="88"/>
      <c r="M117" s="88"/>
      <c r="N117" s="88"/>
      <c r="O117" s="88"/>
      <c r="P117" s="88"/>
      <c r="Q117" s="88"/>
      <c r="R117" s="88"/>
      <c r="S117" s="88"/>
      <c r="T117" s="88"/>
      <c r="U117" s="88"/>
      <c r="V117" s="88"/>
      <c r="W117" s="88"/>
      <c r="X117" s="88"/>
      <c r="Y117" s="88"/>
      <c r="Z117" s="88"/>
      <c r="AA117" s="88"/>
      <c r="AB117" s="88"/>
      <c r="AC117" s="88"/>
      <c r="AD117" s="88"/>
      <c r="AE117" s="88"/>
      <c r="AF117" s="88"/>
      <c r="AG117" s="88"/>
      <c r="AH117" s="88"/>
      <c r="AI117" s="125"/>
      <c r="AJ117" s="88"/>
      <c r="AK117" s="126" t="s">
        <v>94</v>
      </c>
    </row>
    <row r="118" spans="1:37" ht="13.5" customHeight="1" x14ac:dyDescent="0.15">
      <c r="A118" s="9"/>
      <c r="B118" s="88"/>
      <c r="C118" s="88"/>
      <c r="D118" s="88"/>
      <c r="E118" s="88"/>
      <c r="F118" s="88"/>
      <c r="G118" s="88"/>
      <c r="H118" s="88"/>
      <c r="I118" s="88"/>
      <c r="J118" s="88"/>
      <c r="K118" s="88"/>
      <c r="L118" s="88"/>
      <c r="M118" s="88"/>
      <c r="N118" s="88"/>
      <c r="O118" s="88"/>
      <c r="P118" s="88"/>
      <c r="Q118" s="88"/>
      <c r="R118" s="88"/>
      <c r="S118" s="88"/>
      <c r="T118" s="88"/>
      <c r="U118" s="88"/>
      <c r="V118" s="88"/>
      <c r="W118" s="88"/>
      <c r="X118" s="88"/>
      <c r="Y118" s="88"/>
      <c r="Z118" s="88"/>
      <c r="AA118" s="88"/>
      <c r="AB118" s="88"/>
      <c r="AC118" s="88"/>
      <c r="AD118" s="88"/>
      <c r="AE118" s="88"/>
      <c r="AF118" s="88"/>
      <c r="AG118" s="88"/>
      <c r="AH118" s="88"/>
      <c r="AI118" s="125"/>
      <c r="AJ118" s="88"/>
      <c r="AK118" s="126"/>
    </row>
    <row r="119" spans="1:37" ht="13.5" customHeight="1" x14ac:dyDescent="0.15">
      <c r="A119" s="9"/>
      <c r="B119" s="88"/>
      <c r="C119" s="88"/>
      <c r="D119" s="88"/>
      <c r="E119" s="88"/>
      <c r="F119" s="88"/>
      <c r="G119" s="88"/>
      <c r="H119" s="88"/>
      <c r="I119" s="88"/>
      <c r="J119" s="88"/>
      <c r="K119" s="88"/>
      <c r="L119" s="88"/>
      <c r="M119" s="88"/>
      <c r="N119" s="88"/>
      <c r="O119" s="88"/>
      <c r="P119" s="88"/>
      <c r="Q119" s="88"/>
      <c r="R119" s="88"/>
      <c r="S119" s="88"/>
      <c r="T119" s="88"/>
      <c r="U119" s="88"/>
      <c r="V119" s="88"/>
      <c r="W119" s="88"/>
      <c r="X119" s="88"/>
      <c r="Y119" s="88"/>
      <c r="Z119" s="88"/>
      <c r="AA119" s="88"/>
      <c r="AB119" s="88"/>
      <c r="AC119" s="88"/>
      <c r="AD119" s="88"/>
      <c r="AE119" s="88"/>
      <c r="AF119" s="88"/>
      <c r="AG119" s="88"/>
      <c r="AH119" s="88"/>
      <c r="AI119" s="125"/>
      <c r="AJ119" s="88"/>
      <c r="AK119" s="126" t="s">
        <v>165</v>
      </c>
    </row>
    <row r="120" spans="1:37" ht="13.5" customHeight="1" x14ac:dyDescent="0.15">
      <c r="A120" s="9"/>
      <c r="B120" s="88"/>
      <c r="C120" s="88"/>
      <c r="D120" s="88"/>
      <c r="E120" s="88"/>
      <c r="F120" s="88"/>
      <c r="G120" s="88"/>
      <c r="H120" s="88"/>
      <c r="I120" s="88"/>
      <c r="J120" s="88"/>
      <c r="K120" s="88"/>
      <c r="L120" s="88"/>
      <c r="M120" s="88"/>
      <c r="N120" s="88"/>
      <c r="O120" s="88"/>
      <c r="P120" s="88"/>
      <c r="Q120" s="88"/>
      <c r="R120" s="88"/>
      <c r="S120" s="88"/>
      <c r="T120" s="88"/>
      <c r="U120" s="88"/>
      <c r="V120" s="88"/>
      <c r="W120" s="88"/>
      <c r="X120" s="88"/>
      <c r="Y120" s="88"/>
      <c r="Z120" s="88"/>
      <c r="AA120" s="88"/>
      <c r="AB120" s="88"/>
      <c r="AC120" s="88"/>
      <c r="AD120" s="88"/>
      <c r="AE120" s="88"/>
      <c r="AF120" s="88"/>
      <c r="AG120" s="88"/>
      <c r="AH120" s="88"/>
      <c r="AI120" s="125"/>
      <c r="AJ120" s="88"/>
      <c r="AK120" s="126"/>
    </row>
    <row r="121" spans="1:37" ht="13.5" customHeight="1" x14ac:dyDescent="0.15">
      <c r="A121" s="9"/>
      <c r="B121" s="88"/>
      <c r="C121" s="88"/>
      <c r="D121" s="88"/>
      <c r="E121" s="88"/>
      <c r="F121" s="88"/>
      <c r="G121" s="88"/>
      <c r="H121" s="88"/>
      <c r="I121" s="88"/>
      <c r="J121" s="88"/>
      <c r="K121" s="88"/>
      <c r="L121" s="88"/>
      <c r="M121" s="88"/>
      <c r="N121" s="88"/>
      <c r="O121" s="88"/>
      <c r="P121" s="88"/>
      <c r="Q121" s="88"/>
      <c r="R121" s="88"/>
      <c r="S121" s="88"/>
      <c r="T121" s="88"/>
      <c r="U121" s="88"/>
      <c r="V121" s="88"/>
      <c r="W121" s="88"/>
      <c r="X121" s="88"/>
      <c r="Y121" s="88"/>
      <c r="Z121" s="88"/>
      <c r="AA121" s="88"/>
      <c r="AB121" s="88"/>
      <c r="AC121" s="88"/>
      <c r="AD121" s="88"/>
      <c r="AE121" s="88"/>
      <c r="AF121" s="88"/>
      <c r="AG121" s="88"/>
      <c r="AH121" s="88"/>
      <c r="AI121" s="125"/>
      <c r="AJ121" s="88"/>
      <c r="AK121" s="126" t="s">
        <v>203</v>
      </c>
    </row>
    <row r="122" spans="1:37" ht="13.5" customHeight="1" x14ac:dyDescent="0.15">
      <c r="A122" s="14"/>
      <c r="B122" s="15"/>
      <c r="C122" s="15"/>
      <c r="D122" s="15"/>
      <c r="E122" s="15"/>
      <c r="F122" s="15"/>
      <c r="G122" s="15"/>
      <c r="H122" s="15"/>
      <c r="I122" s="15"/>
      <c r="J122" s="15"/>
      <c r="K122" s="15"/>
      <c r="L122" s="15"/>
      <c r="M122" s="15"/>
      <c r="N122" s="15"/>
      <c r="O122" s="15"/>
      <c r="P122" s="15"/>
      <c r="Q122" s="15"/>
      <c r="R122" s="15"/>
      <c r="S122" s="15"/>
      <c r="T122" s="15"/>
      <c r="U122" s="15"/>
      <c r="V122" s="15"/>
      <c r="W122" s="15"/>
      <c r="X122" s="15"/>
      <c r="Y122" s="15"/>
      <c r="Z122" s="15"/>
      <c r="AA122" s="15"/>
      <c r="AB122" s="15"/>
      <c r="AC122" s="15"/>
      <c r="AD122" s="15"/>
      <c r="AE122" s="15"/>
      <c r="AF122" s="15"/>
      <c r="AG122" s="15"/>
      <c r="AH122" s="15"/>
      <c r="AI122" s="14"/>
      <c r="AJ122" s="15"/>
      <c r="AK122" s="16"/>
    </row>
    <row r="123" spans="1:37" ht="13.5" customHeight="1" x14ac:dyDescent="0.15">
      <c r="A123" s="260" t="s">
        <v>17</v>
      </c>
      <c r="B123" s="261"/>
      <c r="C123" s="261"/>
      <c r="D123" s="261"/>
      <c r="E123" s="261"/>
      <c r="F123" s="262"/>
      <c r="G123" s="243" t="s">
        <v>5</v>
      </c>
      <c r="H123" s="245"/>
      <c r="I123" s="244"/>
      <c r="J123" s="21">
        <f>J62</f>
        <v>0</v>
      </c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243" t="s">
        <v>8</v>
      </c>
      <c r="AC123" s="244"/>
      <c r="AD123" s="243" t="s">
        <v>7</v>
      </c>
      <c r="AE123" s="245"/>
      <c r="AF123" s="244"/>
      <c r="AG123" s="243" t="s">
        <v>9</v>
      </c>
      <c r="AH123" s="244"/>
      <c r="AI123" s="243" t="s">
        <v>10</v>
      </c>
      <c r="AJ123" s="245"/>
      <c r="AK123" s="244"/>
    </row>
    <row r="124" spans="1:37" ht="13.5" customHeight="1" x14ac:dyDescent="0.15">
      <c r="A124" s="263"/>
      <c r="B124" s="264"/>
      <c r="C124" s="264"/>
      <c r="D124" s="264"/>
      <c r="E124" s="264"/>
      <c r="F124" s="265"/>
      <c r="G124" s="243" t="s">
        <v>6</v>
      </c>
      <c r="H124" s="245"/>
      <c r="I124" s="244"/>
      <c r="J124" s="21">
        <f>J63</f>
        <v>0</v>
      </c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  <c r="AA124" s="5"/>
      <c r="AB124" s="246" t="str">
        <f>IF(AB63&lt;&gt;"", AB63,"")</f>
        <v/>
      </c>
      <c r="AC124" s="247"/>
      <c r="AD124" s="273" t="str">
        <f>IF(AD63&lt;&gt;"", AD63,"")</f>
        <v/>
      </c>
      <c r="AE124" s="274"/>
      <c r="AF124" s="275"/>
      <c r="AG124" s="246" t="str">
        <f>IF(AG63&lt;&gt;"", AG63,"")</f>
        <v/>
      </c>
      <c r="AH124" s="247"/>
      <c r="AI124" s="273" t="str">
        <f>IF(AI63&lt;&gt;"", AI63,"")</f>
        <v/>
      </c>
      <c r="AJ124" s="274"/>
      <c r="AK124" s="275"/>
    </row>
    <row r="125" spans="1:37" ht="13.5" customHeight="1" x14ac:dyDescent="0.15">
      <c r="A125" s="266"/>
      <c r="B125" s="267"/>
      <c r="C125" s="267"/>
      <c r="D125" s="267"/>
      <c r="E125" s="267"/>
      <c r="F125" s="268"/>
      <c r="G125" s="243"/>
      <c r="H125" s="245"/>
      <c r="I125" s="244"/>
      <c r="J125" s="21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  <c r="AA125" s="5"/>
      <c r="AB125" s="248"/>
      <c r="AC125" s="249"/>
      <c r="AD125" s="276"/>
      <c r="AE125" s="277"/>
      <c r="AF125" s="278"/>
      <c r="AG125" s="248"/>
      <c r="AH125" s="249"/>
      <c r="AI125" s="276"/>
      <c r="AJ125" s="277"/>
      <c r="AK125" s="278"/>
    </row>
    <row r="126" spans="1:37" ht="13.5" customHeight="1" x14ac:dyDescent="0.15">
      <c r="A126" s="86"/>
      <c r="B126" s="11"/>
      <c r="C126" s="11"/>
      <c r="D126" s="11"/>
      <c r="E126" s="11"/>
      <c r="F126" s="11"/>
      <c r="G126" s="11"/>
      <c r="H126" s="11"/>
      <c r="I126" s="11"/>
      <c r="J126" s="11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11"/>
      <c r="V126" s="11"/>
      <c r="W126" s="11"/>
      <c r="X126" s="11"/>
      <c r="Y126" s="11"/>
      <c r="Z126" s="11"/>
      <c r="AA126" s="11"/>
      <c r="AB126" s="18"/>
      <c r="AC126" s="11"/>
      <c r="AD126" s="11"/>
      <c r="AE126" s="11"/>
      <c r="AF126" s="11"/>
      <c r="AG126" s="11"/>
      <c r="AH126" s="11"/>
      <c r="AI126" s="11"/>
      <c r="AJ126" s="11"/>
      <c r="AK126" s="11"/>
    </row>
    <row r="127" spans="1:37" ht="13.5" customHeight="1" x14ac:dyDescent="0.15">
      <c r="A127" s="83" t="s">
        <v>17</v>
      </c>
      <c r="B127" s="84"/>
      <c r="C127" s="84"/>
      <c r="D127" s="84"/>
      <c r="E127" s="84"/>
      <c r="F127" s="84"/>
      <c r="G127" s="84"/>
      <c r="H127" s="84"/>
      <c r="I127" s="84"/>
      <c r="J127" s="84"/>
      <c r="K127" s="84"/>
      <c r="L127" s="84"/>
      <c r="M127" s="84"/>
      <c r="N127" s="84"/>
      <c r="O127" s="84"/>
      <c r="P127" s="84"/>
      <c r="Q127" s="84"/>
      <c r="R127" s="84"/>
      <c r="S127" s="84"/>
      <c r="T127" s="84"/>
      <c r="U127" s="84"/>
      <c r="V127" s="84"/>
      <c r="W127" s="84"/>
      <c r="X127" s="84"/>
      <c r="Y127" s="84"/>
      <c r="Z127" s="84"/>
      <c r="AA127" s="84"/>
      <c r="AB127" s="84"/>
      <c r="AC127" s="84"/>
      <c r="AD127" s="84"/>
      <c r="AE127" s="84"/>
      <c r="AF127" s="84"/>
      <c r="AG127" s="84"/>
      <c r="AH127" s="84"/>
      <c r="AI127" s="84"/>
      <c r="AJ127" s="84"/>
      <c r="AK127" s="85"/>
    </row>
    <row r="128" spans="1:37" ht="13.5" customHeight="1" x14ac:dyDescent="0.15">
      <c r="A128" s="159"/>
      <c r="B128" s="160"/>
      <c r="C128" s="160"/>
      <c r="D128" s="160"/>
      <c r="E128" s="160"/>
      <c r="F128" s="160"/>
      <c r="G128" s="160"/>
      <c r="H128" s="160"/>
      <c r="I128" s="160"/>
      <c r="J128" s="160"/>
      <c r="K128" s="160"/>
      <c r="L128" s="160"/>
      <c r="M128" s="160"/>
      <c r="N128" s="160"/>
      <c r="O128" s="160"/>
      <c r="P128" s="160"/>
      <c r="Q128" s="160"/>
      <c r="R128" s="160"/>
      <c r="S128" s="160"/>
      <c r="T128" s="160"/>
      <c r="U128" s="160"/>
      <c r="V128" s="160"/>
      <c r="W128" s="160"/>
      <c r="X128" s="160"/>
      <c r="Y128" s="160"/>
      <c r="Z128" s="160"/>
      <c r="AA128" s="160"/>
      <c r="AB128" s="160"/>
      <c r="AC128" s="160"/>
      <c r="AD128" s="160"/>
      <c r="AE128" s="160"/>
      <c r="AF128" s="160"/>
      <c r="AG128" s="160"/>
      <c r="AH128" s="160"/>
      <c r="AI128" s="160"/>
      <c r="AJ128" s="160"/>
      <c r="AK128" s="161"/>
    </row>
    <row r="129" spans="1:37" ht="13.5" customHeight="1" x14ac:dyDescent="0.15">
      <c r="A129" s="17"/>
      <c r="B129" s="88"/>
      <c r="C129" s="88"/>
      <c r="D129" s="88"/>
      <c r="E129" s="88"/>
      <c r="F129" s="88"/>
      <c r="G129" s="88"/>
      <c r="H129" s="88"/>
      <c r="I129" s="88"/>
      <c r="J129" s="88"/>
      <c r="K129" s="88"/>
      <c r="L129" s="88"/>
      <c r="M129" s="88"/>
      <c r="N129" s="88"/>
      <c r="O129" s="88"/>
      <c r="P129" s="88"/>
      <c r="Q129" s="88"/>
      <c r="R129" s="88"/>
      <c r="S129" s="88"/>
      <c r="T129" s="88"/>
      <c r="U129" s="88"/>
      <c r="V129" s="88"/>
      <c r="W129" s="88"/>
      <c r="X129" s="88"/>
      <c r="Y129" s="88"/>
      <c r="Z129" s="88"/>
      <c r="AA129" s="88"/>
      <c r="AB129" s="88"/>
      <c r="AC129" s="88"/>
      <c r="AD129" s="88"/>
      <c r="AE129" s="88"/>
      <c r="AF129" s="88"/>
      <c r="AG129" s="88"/>
      <c r="AH129" s="88"/>
      <c r="AI129" s="88"/>
      <c r="AJ129" s="88"/>
      <c r="AK129" s="13"/>
    </row>
    <row r="130" spans="1:37" ht="13.5" customHeight="1" x14ac:dyDescent="0.15">
      <c r="A130" s="17"/>
      <c r="B130" s="88"/>
      <c r="C130" s="88"/>
      <c r="D130" s="88"/>
      <c r="E130" s="88"/>
      <c r="F130" s="88"/>
      <c r="G130" s="88"/>
      <c r="H130" s="88"/>
      <c r="I130" s="88"/>
      <c r="J130" s="88"/>
      <c r="K130" s="88"/>
      <c r="L130" s="88"/>
      <c r="M130" s="88"/>
      <c r="N130" s="88"/>
      <c r="O130" s="88"/>
      <c r="P130" s="88"/>
      <c r="Q130" s="88"/>
      <c r="R130" s="88"/>
      <c r="S130" s="88"/>
      <c r="T130" s="88"/>
      <c r="U130" s="88"/>
      <c r="V130" s="88"/>
      <c r="W130" s="88"/>
      <c r="X130" s="88"/>
      <c r="Y130" s="88"/>
      <c r="Z130" s="88"/>
      <c r="AA130" s="88"/>
      <c r="AB130" s="88"/>
      <c r="AC130" s="88"/>
      <c r="AD130" s="88"/>
      <c r="AE130" s="88"/>
      <c r="AF130" s="88"/>
      <c r="AG130" s="88"/>
      <c r="AH130" s="88"/>
      <c r="AI130" s="88"/>
      <c r="AJ130" s="88"/>
      <c r="AK130" s="13"/>
    </row>
    <row r="131" spans="1:37" ht="13.5" customHeight="1" x14ac:dyDescent="0.15">
      <c r="A131" s="17"/>
      <c r="B131" s="88"/>
      <c r="C131" s="88"/>
      <c r="D131" s="88"/>
      <c r="E131" s="88"/>
      <c r="F131" s="88"/>
      <c r="G131" s="88"/>
      <c r="H131" s="88"/>
      <c r="I131" s="88"/>
      <c r="J131" s="88"/>
      <c r="K131" s="88"/>
      <c r="L131" s="88"/>
      <c r="M131" s="88"/>
      <c r="N131" s="88"/>
      <c r="O131" s="88"/>
      <c r="P131" s="88"/>
      <c r="Q131" s="88"/>
      <c r="R131" s="88"/>
      <c r="S131" s="88"/>
      <c r="T131" s="88"/>
      <c r="U131" s="88"/>
      <c r="V131" s="88"/>
      <c r="W131" s="88"/>
      <c r="X131" s="88"/>
      <c r="Y131" s="88"/>
      <c r="Z131" s="88"/>
      <c r="AA131" s="88"/>
      <c r="AB131" s="88"/>
      <c r="AC131" s="88"/>
      <c r="AD131" s="88"/>
      <c r="AE131" s="88"/>
      <c r="AF131" s="88"/>
      <c r="AG131" s="88"/>
      <c r="AH131" s="88"/>
      <c r="AI131" s="88"/>
      <c r="AJ131" s="88"/>
      <c r="AK131" s="13"/>
    </row>
    <row r="132" spans="1:37" ht="13.5" customHeight="1" x14ac:dyDescent="0.15">
      <c r="A132" s="17"/>
      <c r="B132" s="88"/>
      <c r="C132" s="88"/>
      <c r="D132" s="88"/>
      <c r="E132" s="88"/>
      <c r="F132" s="88"/>
      <c r="G132" s="88"/>
      <c r="H132" s="88"/>
      <c r="I132" s="88"/>
      <c r="J132" s="88"/>
      <c r="K132" s="88"/>
      <c r="L132" s="88"/>
      <c r="M132" s="88"/>
      <c r="N132" s="88"/>
      <c r="O132" s="88"/>
      <c r="P132" s="88"/>
      <c r="Q132" s="88"/>
      <c r="R132" s="88"/>
      <c r="S132" s="88"/>
      <c r="T132" s="88"/>
      <c r="U132" s="88"/>
      <c r="V132" s="88"/>
      <c r="W132" s="88"/>
      <c r="X132" s="88"/>
      <c r="Y132" s="88"/>
      <c r="Z132" s="88"/>
      <c r="AA132" s="88"/>
      <c r="AB132" s="88"/>
      <c r="AC132" s="88"/>
      <c r="AD132" s="88"/>
      <c r="AE132" s="88"/>
      <c r="AF132" s="88"/>
      <c r="AG132" s="88"/>
      <c r="AH132" s="88"/>
      <c r="AI132" s="88"/>
      <c r="AJ132" s="88"/>
      <c r="AK132" s="13"/>
    </row>
    <row r="133" spans="1:37" ht="13.5" customHeight="1" x14ac:dyDescent="0.15">
      <c r="A133" s="17"/>
      <c r="B133" s="88"/>
      <c r="C133" s="88"/>
      <c r="D133" s="88"/>
      <c r="E133" s="88"/>
      <c r="F133" s="88"/>
      <c r="G133" s="88"/>
      <c r="H133" s="88"/>
      <c r="I133" s="88"/>
      <c r="J133" s="88"/>
      <c r="K133" s="88"/>
      <c r="L133" s="88"/>
      <c r="M133" s="88"/>
      <c r="N133" s="88"/>
      <c r="O133" s="88"/>
      <c r="P133" s="88"/>
      <c r="Q133" s="88"/>
      <c r="R133" s="88"/>
      <c r="S133" s="88"/>
      <c r="T133" s="88"/>
      <c r="U133" s="88"/>
      <c r="V133" s="88"/>
      <c r="W133" s="88"/>
      <c r="X133" s="88"/>
      <c r="Y133" s="88"/>
      <c r="Z133" s="88"/>
      <c r="AA133" s="88"/>
      <c r="AB133" s="88"/>
      <c r="AC133" s="88"/>
      <c r="AD133" s="88"/>
      <c r="AE133" s="88"/>
      <c r="AF133" s="88"/>
      <c r="AG133" s="88"/>
      <c r="AH133" s="88"/>
      <c r="AI133" s="88"/>
      <c r="AJ133" s="88"/>
      <c r="AK133" s="13"/>
    </row>
    <row r="134" spans="1:37" ht="13.5" customHeight="1" x14ac:dyDescent="0.15">
      <c r="A134" s="17"/>
      <c r="B134" s="88"/>
      <c r="C134" s="88"/>
      <c r="D134" s="88"/>
      <c r="E134" s="88"/>
      <c r="F134" s="88"/>
      <c r="G134" s="88"/>
      <c r="H134" s="88"/>
      <c r="I134" s="88"/>
      <c r="J134" s="88"/>
      <c r="K134" s="88"/>
      <c r="L134" s="88"/>
      <c r="M134" s="88"/>
      <c r="N134" s="88"/>
      <c r="O134" s="88"/>
      <c r="P134" s="88"/>
      <c r="Q134" s="88"/>
      <c r="R134" s="88"/>
      <c r="S134" s="88"/>
      <c r="T134" s="88"/>
      <c r="U134" s="88"/>
      <c r="V134" s="88"/>
      <c r="W134" s="88"/>
      <c r="X134" s="88"/>
      <c r="Y134" s="88"/>
      <c r="Z134" s="88"/>
      <c r="AA134" s="88"/>
      <c r="AB134" s="88"/>
      <c r="AC134" s="88"/>
      <c r="AD134" s="88"/>
      <c r="AE134" s="88"/>
      <c r="AF134" s="88"/>
      <c r="AG134" s="88"/>
      <c r="AH134" s="88"/>
      <c r="AI134" s="88"/>
      <c r="AJ134" s="88"/>
      <c r="AK134" s="13"/>
    </row>
    <row r="135" spans="1:37" ht="13.5" customHeight="1" x14ac:dyDescent="0.15">
      <c r="A135" s="17"/>
      <c r="B135" s="88"/>
      <c r="C135" s="88"/>
      <c r="D135" s="88"/>
      <c r="E135" s="88"/>
      <c r="F135" s="88"/>
      <c r="G135" s="88"/>
      <c r="H135" s="88"/>
      <c r="I135" s="88"/>
      <c r="J135" s="88"/>
      <c r="K135" s="88"/>
      <c r="L135" s="88"/>
      <c r="M135" s="88"/>
      <c r="N135" s="88"/>
      <c r="O135" s="88"/>
      <c r="P135" s="88"/>
      <c r="Q135" s="88"/>
      <c r="R135" s="88"/>
      <c r="S135" s="88"/>
      <c r="T135" s="88"/>
      <c r="U135" s="88"/>
      <c r="V135" s="88"/>
      <c r="W135" s="88"/>
      <c r="X135" s="88"/>
      <c r="Y135" s="88"/>
      <c r="Z135" s="88"/>
      <c r="AA135" s="88"/>
      <c r="AB135" s="88"/>
      <c r="AC135" s="88"/>
      <c r="AD135" s="88"/>
      <c r="AE135" s="88"/>
      <c r="AF135" s="88"/>
      <c r="AG135" s="88"/>
      <c r="AH135" s="88"/>
      <c r="AI135" s="88"/>
      <c r="AJ135" s="88"/>
      <c r="AK135" s="13"/>
    </row>
    <row r="136" spans="1:37" ht="13.5" customHeight="1" x14ac:dyDescent="0.15">
      <c r="A136" s="17"/>
      <c r="B136" s="88"/>
      <c r="C136" s="88"/>
      <c r="D136" s="88"/>
      <c r="E136" s="88"/>
      <c r="F136" s="88"/>
      <c r="G136" s="88"/>
      <c r="H136" s="88"/>
      <c r="I136" s="88"/>
      <c r="J136" s="88"/>
      <c r="K136" s="88"/>
      <c r="L136" s="88"/>
      <c r="M136" s="88"/>
      <c r="N136" s="88"/>
      <c r="O136" s="88"/>
      <c r="P136" s="88"/>
      <c r="Q136" s="88"/>
      <c r="R136" s="88"/>
      <c r="S136" s="88"/>
      <c r="T136" s="88"/>
      <c r="U136" s="88"/>
      <c r="V136" s="88"/>
      <c r="W136" s="88"/>
      <c r="X136" s="88"/>
      <c r="Y136" s="88"/>
      <c r="Z136" s="88"/>
      <c r="AA136" s="88"/>
      <c r="AB136" s="88"/>
      <c r="AC136" s="88"/>
      <c r="AD136" s="88"/>
      <c r="AE136" s="88"/>
      <c r="AF136" s="88"/>
      <c r="AG136" s="88"/>
      <c r="AH136" s="88"/>
      <c r="AI136" s="88"/>
      <c r="AJ136" s="88"/>
      <c r="AK136" s="13"/>
    </row>
    <row r="137" spans="1:37" ht="13.5" customHeight="1" x14ac:dyDescent="0.15">
      <c r="A137" s="9"/>
      <c r="B137" s="88"/>
      <c r="C137" s="88"/>
      <c r="D137" s="88"/>
      <c r="E137" s="88"/>
      <c r="F137" s="88"/>
      <c r="G137" s="88"/>
      <c r="H137" s="88"/>
      <c r="I137" s="88"/>
      <c r="J137" s="88"/>
      <c r="K137" s="88"/>
      <c r="L137" s="88"/>
      <c r="M137" s="88"/>
      <c r="N137" s="88"/>
      <c r="O137" s="88"/>
      <c r="P137" s="88"/>
      <c r="Q137" s="88"/>
      <c r="R137" s="88"/>
      <c r="S137" s="88"/>
      <c r="T137" s="88"/>
      <c r="U137" s="88"/>
      <c r="V137" s="88"/>
      <c r="W137" s="88"/>
      <c r="X137" s="88"/>
      <c r="Y137" s="88"/>
      <c r="Z137" s="88"/>
      <c r="AA137" s="88"/>
      <c r="AB137" s="88"/>
      <c r="AC137" s="88"/>
      <c r="AD137" s="88"/>
      <c r="AE137" s="88"/>
      <c r="AF137" s="88"/>
      <c r="AG137" s="88"/>
      <c r="AH137" s="88"/>
      <c r="AI137" s="88"/>
      <c r="AJ137" s="88"/>
      <c r="AK137" s="13"/>
    </row>
    <row r="138" spans="1:37" ht="13.5" customHeight="1" x14ac:dyDescent="0.15">
      <c r="A138" s="9"/>
      <c r="B138" s="88"/>
      <c r="C138" s="88"/>
      <c r="D138" s="88"/>
      <c r="E138" s="88"/>
      <c r="F138" s="88"/>
      <c r="G138" s="88"/>
      <c r="H138" s="88"/>
      <c r="I138" s="88"/>
      <c r="J138" s="88"/>
      <c r="K138" s="88"/>
      <c r="L138" s="88"/>
      <c r="M138" s="88"/>
      <c r="N138" s="88"/>
      <c r="O138" s="88"/>
      <c r="P138" s="88"/>
      <c r="Q138" s="88"/>
      <c r="R138" s="88"/>
      <c r="S138" s="88"/>
      <c r="T138" s="88"/>
      <c r="U138" s="88"/>
      <c r="V138" s="88"/>
      <c r="W138" s="88"/>
      <c r="X138" s="88"/>
      <c r="Y138" s="88"/>
      <c r="Z138" s="88"/>
      <c r="AA138" s="88"/>
      <c r="AB138" s="88"/>
      <c r="AC138" s="88"/>
      <c r="AD138" s="88"/>
      <c r="AE138" s="88"/>
      <c r="AF138" s="88"/>
      <c r="AG138" s="88"/>
      <c r="AH138" s="88"/>
      <c r="AI138" s="88"/>
      <c r="AJ138" s="88"/>
      <c r="AK138" s="13"/>
    </row>
    <row r="139" spans="1:37" ht="13.5" customHeight="1" x14ac:dyDescent="0.15">
      <c r="A139" s="9"/>
      <c r="B139" s="88"/>
      <c r="C139" s="88"/>
      <c r="D139" s="88"/>
      <c r="E139" s="88"/>
      <c r="F139" s="88"/>
      <c r="G139" s="88"/>
      <c r="H139" s="88"/>
      <c r="I139" s="88"/>
      <c r="J139" s="88"/>
      <c r="K139" s="88"/>
      <c r="L139" s="88"/>
      <c r="M139" s="88"/>
      <c r="N139" s="88"/>
      <c r="O139" s="88"/>
      <c r="P139" s="88"/>
      <c r="Q139" s="88"/>
      <c r="R139" s="88"/>
      <c r="S139" s="88"/>
      <c r="T139" s="88"/>
      <c r="U139" s="88"/>
      <c r="V139" s="88"/>
      <c r="W139" s="88"/>
      <c r="X139" s="88"/>
      <c r="Y139" s="88"/>
      <c r="Z139" s="88"/>
      <c r="AA139" s="88"/>
      <c r="AB139" s="88"/>
      <c r="AC139" s="88"/>
      <c r="AD139" s="88"/>
      <c r="AE139" s="88"/>
      <c r="AF139" s="88"/>
      <c r="AG139" s="88"/>
      <c r="AH139" s="88"/>
      <c r="AI139" s="88"/>
      <c r="AJ139" s="88"/>
      <c r="AK139" s="13"/>
    </row>
    <row r="140" spans="1:37" ht="13.5" customHeight="1" x14ac:dyDescent="0.15">
      <c r="A140" s="9"/>
      <c r="B140" s="88"/>
      <c r="C140" s="88"/>
      <c r="D140" s="88"/>
      <c r="E140" s="88"/>
      <c r="F140" s="88"/>
      <c r="G140" s="88"/>
      <c r="H140" s="88"/>
      <c r="I140" s="88"/>
      <c r="J140" s="88"/>
      <c r="K140" s="88"/>
      <c r="L140" s="88"/>
      <c r="M140" s="88"/>
      <c r="N140" s="88"/>
      <c r="O140" s="88"/>
      <c r="P140" s="88"/>
      <c r="Q140" s="88"/>
      <c r="R140" s="88"/>
      <c r="S140" s="88"/>
      <c r="T140" s="88"/>
      <c r="U140" s="88"/>
      <c r="V140" s="88"/>
      <c r="W140" s="88"/>
      <c r="X140" s="88"/>
      <c r="Y140" s="88"/>
      <c r="Z140" s="88"/>
      <c r="AA140" s="88"/>
      <c r="AB140" s="88"/>
      <c r="AC140" s="88"/>
      <c r="AD140" s="88"/>
      <c r="AE140" s="88"/>
      <c r="AF140" s="88"/>
      <c r="AG140" s="88"/>
      <c r="AH140" s="88"/>
      <c r="AI140" s="88"/>
      <c r="AJ140" s="88"/>
      <c r="AK140" s="13"/>
    </row>
    <row r="141" spans="1:37" ht="13.5" customHeight="1" x14ac:dyDescent="0.15">
      <c r="A141" s="9"/>
      <c r="B141" s="88"/>
      <c r="C141" s="88"/>
      <c r="D141" s="88"/>
      <c r="E141" s="88"/>
      <c r="F141" s="88"/>
      <c r="G141" s="88"/>
      <c r="H141" s="88"/>
      <c r="I141" s="88"/>
      <c r="J141" s="88"/>
      <c r="K141" s="88"/>
      <c r="L141" s="88"/>
      <c r="M141" s="88"/>
      <c r="N141" s="88"/>
      <c r="O141" s="88"/>
      <c r="P141" s="88"/>
      <c r="Q141" s="88"/>
      <c r="R141" s="88"/>
      <c r="S141" s="88"/>
      <c r="T141" s="88"/>
      <c r="U141" s="88"/>
      <c r="V141" s="88"/>
      <c r="W141" s="88"/>
      <c r="X141" s="88"/>
      <c r="Y141" s="88"/>
      <c r="Z141" s="88"/>
      <c r="AA141" s="88"/>
      <c r="AB141" s="88"/>
      <c r="AC141" s="88"/>
      <c r="AD141" s="88"/>
      <c r="AE141" s="88"/>
      <c r="AF141" s="88"/>
      <c r="AG141" s="88"/>
      <c r="AH141" s="88"/>
      <c r="AI141" s="88"/>
      <c r="AJ141" s="88"/>
      <c r="AK141" s="13"/>
    </row>
    <row r="142" spans="1:37" ht="13.5" customHeight="1" x14ac:dyDescent="0.15">
      <c r="A142" s="9"/>
      <c r="B142" s="88"/>
      <c r="C142" s="88"/>
      <c r="D142" s="88"/>
      <c r="E142" s="88"/>
      <c r="F142" s="88"/>
      <c r="G142" s="88"/>
      <c r="H142" s="88"/>
      <c r="I142" s="88"/>
      <c r="J142" s="88"/>
      <c r="K142" s="88"/>
      <c r="L142" s="88"/>
      <c r="M142" s="88"/>
      <c r="N142" s="88"/>
      <c r="O142" s="88"/>
      <c r="P142" s="88"/>
      <c r="Q142" s="88"/>
      <c r="R142" s="88"/>
      <c r="S142" s="88"/>
      <c r="T142" s="88"/>
      <c r="U142" s="88"/>
      <c r="V142" s="88"/>
      <c r="W142" s="88"/>
      <c r="X142" s="88"/>
      <c r="Y142" s="88"/>
      <c r="Z142" s="88"/>
      <c r="AA142" s="88"/>
      <c r="AB142" s="88"/>
      <c r="AC142" s="88"/>
      <c r="AD142" s="88"/>
      <c r="AE142" s="88"/>
      <c r="AF142" s="88"/>
      <c r="AG142" s="88"/>
      <c r="AH142" s="88"/>
      <c r="AI142" s="88"/>
      <c r="AJ142" s="88"/>
      <c r="AK142" s="13"/>
    </row>
    <row r="143" spans="1:37" ht="13.5" customHeight="1" x14ac:dyDescent="0.15">
      <c r="A143" s="9"/>
      <c r="B143" s="88"/>
      <c r="C143" s="88"/>
      <c r="D143" s="88"/>
      <c r="E143" s="88"/>
      <c r="F143" s="88"/>
      <c r="G143" s="88"/>
      <c r="H143" s="88"/>
      <c r="I143" s="88"/>
      <c r="J143" s="88"/>
      <c r="K143" s="88"/>
      <c r="L143" s="88"/>
      <c r="M143" s="88"/>
      <c r="N143" s="88"/>
      <c r="O143" s="88"/>
      <c r="P143" s="88"/>
      <c r="Q143" s="88"/>
      <c r="R143" s="88"/>
      <c r="S143" s="88"/>
      <c r="T143" s="88"/>
      <c r="U143" s="88"/>
      <c r="V143" s="88"/>
      <c r="W143" s="88"/>
      <c r="X143" s="88"/>
      <c r="Y143" s="88"/>
      <c r="Z143" s="88"/>
      <c r="AA143" s="88"/>
      <c r="AB143" s="88"/>
      <c r="AC143" s="88"/>
      <c r="AD143" s="88"/>
      <c r="AE143" s="88"/>
      <c r="AF143" s="88"/>
      <c r="AG143" s="88"/>
      <c r="AH143" s="88"/>
      <c r="AI143" s="88"/>
      <c r="AJ143" s="88"/>
      <c r="AK143" s="13"/>
    </row>
    <row r="144" spans="1:37" ht="13.5" customHeight="1" x14ac:dyDescent="0.15">
      <c r="A144" s="9"/>
      <c r="B144" s="88"/>
      <c r="C144" s="88"/>
      <c r="D144" s="88"/>
      <c r="E144" s="88"/>
      <c r="F144" s="88"/>
      <c r="G144" s="88"/>
      <c r="H144" s="88"/>
      <c r="I144" s="88"/>
      <c r="J144" s="88"/>
      <c r="K144" s="88"/>
      <c r="L144" s="88"/>
      <c r="M144" s="88"/>
      <c r="N144" s="88"/>
      <c r="O144" s="88"/>
      <c r="P144" s="88"/>
      <c r="Q144" s="88"/>
      <c r="R144" s="88"/>
      <c r="S144" s="88"/>
      <c r="T144" s="88"/>
      <c r="U144" s="88"/>
      <c r="V144" s="88"/>
      <c r="W144" s="88"/>
      <c r="X144" s="88"/>
      <c r="Y144" s="88"/>
      <c r="Z144" s="88"/>
      <c r="AA144" s="88"/>
      <c r="AB144" s="88"/>
      <c r="AC144" s="88"/>
      <c r="AD144" s="88"/>
      <c r="AE144" s="88"/>
      <c r="AF144" s="88"/>
      <c r="AG144" s="88"/>
      <c r="AH144" s="88"/>
      <c r="AI144" s="88"/>
      <c r="AJ144" s="88"/>
      <c r="AK144" s="13"/>
    </row>
    <row r="145" spans="1:37" ht="13.5" customHeight="1" x14ac:dyDescent="0.15">
      <c r="A145" s="9"/>
      <c r="B145" s="88"/>
      <c r="C145" s="88"/>
      <c r="D145" s="88"/>
      <c r="E145" s="88"/>
      <c r="F145" s="88"/>
      <c r="G145" s="88"/>
      <c r="H145" s="88"/>
      <c r="I145" s="88"/>
      <c r="J145" s="88"/>
      <c r="K145" s="88"/>
      <c r="L145" s="88"/>
      <c r="M145" s="88"/>
      <c r="N145" s="88"/>
      <c r="O145" s="88"/>
      <c r="P145" s="88"/>
      <c r="Q145" s="88"/>
      <c r="R145" s="88"/>
      <c r="S145" s="88"/>
      <c r="T145" s="88"/>
      <c r="U145" s="88"/>
      <c r="V145" s="88"/>
      <c r="W145" s="88"/>
      <c r="X145" s="88"/>
      <c r="Y145" s="88"/>
      <c r="Z145" s="88"/>
      <c r="AA145" s="88"/>
      <c r="AB145" s="88"/>
      <c r="AC145" s="88"/>
      <c r="AD145" s="88"/>
      <c r="AE145" s="88"/>
      <c r="AF145" s="88"/>
      <c r="AG145" s="88"/>
      <c r="AH145" s="88"/>
      <c r="AI145" s="88"/>
      <c r="AJ145" s="88"/>
      <c r="AK145" s="13"/>
    </row>
    <row r="146" spans="1:37" ht="13.5" customHeight="1" x14ac:dyDescent="0.15">
      <c r="A146" s="9"/>
      <c r="B146" s="88"/>
      <c r="C146" s="88"/>
      <c r="D146" s="88"/>
      <c r="E146" s="88"/>
      <c r="F146" s="88"/>
      <c r="G146" s="88"/>
      <c r="H146" s="88"/>
      <c r="I146" s="88"/>
      <c r="J146" s="88"/>
      <c r="K146" s="88"/>
      <c r="L146" s="88"/>
      <c r="M146" s="88"/>
      <c r="N146" s="88"/>
      <c r="O146" s="88"/>
      <c r="P146" s="88"/>
      <c r="Q146" s="88"/>
      <c r="R146" s="88"/>
      <c r="S146" s="88"/>
      <c r="T146" s="88"/>
      <c r="U146" s="88"/>
      <c r="V146" s="88"/>
      <c r="W146" s="88"/>
      <c r="X146" s="88"/>
      <c r="Y146" s="88"/>
      <c r="Z146" s="88"/>
      <c r="AA146" s="88"/>
      <c r="AB146" s="88"/>
      <c r="AC146" s="88"/>
      <c r="AD146" s="88"/>
      <c r="AE146" s="88"/>
      <c r="AF146" s="88"/>
      <c r="AG146" s="88"/>
      <c r="AH146" s="88"/>
      <c r="AI146" s="88"/>
      <c r="AJ146" s="88"/>
      <c r="AK146" s="13"/>
    </row>
    <row r="147" spans="1:37" ht="13.5" customHeight="1" x14ac:dyDescent="0.15">
      <c r="A147" s="9"/>
      <c r="B147" s="88"/>
      <c r="C147" s="88"/>
      <c r="D147" s="88"/>
      <c r="E147" s="88"/>
      <c r="F147" s="88"/>
      <c r="G147" s="88"/>
      <c r="H147" s="88"/>
      <c r="I147" s="88"/>
      <c r="J147" s="88"/>
      <c r="K147" s="88"/>
      <c r="L147" s="88"/>
      <c r="M147" s="88"/>
      <c r="N147" s="88"/>
      <c r="O147" s="88"/>
      <c r="P147" s="88"/>
      <c r="Q147" s="88"/>
      <c r="R147" s="88"/>
      <c r="S147" s="88"/>
      <c r="T147" s="88"/>
      <c r="U147" s="88"/>
      <c r="V147" s="88"/>
      <c r="W147" s="88"/>
      <c r="X147" s="88"/>
      <c r="Y147" s="88"/>
      <c r="Z147" s="88"/>
      <c r="AA147" s="88"/>
      <c r="AB147" s="88"/>
      <c r="AC147" s="88"/>
      <c r="AD147" s="88"/>
      <c r="AE147" s="88"/>
      <c r="AF147" s="88"/>
      <c r="AG147" s="88"/>
      <c r="AH147" s="88"/>
      <c r="AI147" s="88"/>
      <c r="AJ147" s="88"/>
      <c r="AK147" s="13"/>
    </row>
    <row r="148" spans="1:37" ht="13.5" customHeight="1" x14ac:dyDescent="0.15">
      <c r="A148" s="9"/>
      <c r="B148" s="88"/>
      <c r="C148" s="88"/>
      <c r="D148" s="88"/>
      <c r="E148" s="88"/>
      <c r="F148" s="88"/>
      <c r="G148" s="88"/>
      <c r="H148" s="88"/>
      <c r="I148" s="88"/>
      <c r="J148" s="88"/>
      <c r="K148" s="88"/>
      <c r="L148" s="88"/>
      <c r="M148" s="88"/>
      <c r="N148" s="88"/>
      <c r="O148" s="88"/>
      <c r="P148" s="88"/>
      <c r="Q148" s="88"/>
      <c r="R148" s="88"/>
      <c r="S148" s="88"/>
      <c r="T148" s="88"/>
      <c r="U148" s="88"/>
      <c r="V148" s="88"/>
      <c r="W148" s="88"/>
      <c r="X148" s="88"/>
      <c r="Y148" s="88"/>
      <c r="Z148" s="88"/>
      <c r="AA148" s="88"/>
      <c r="AB148" s="88"/>
      <c r="AC148" s="88"/>
      <c r="AD148" s="88"/>
      <c r="AE148" s="88"/>
      <c r="AF148" s="88"/>
      <c r="AG148" s="88"/>
      <c r="AH148" s="88"/>
      <c r="AI148" s="88"/>
      <c r="AJ148" s="88"/>
      <c r="AK148" s="13"/>
    </row>
    <row r="149" spans="1:37" ht="13.5" customHeight="1" x14ac:dyDescent="0.15">
      <c r="A149" s="9"/>
      <c r="B149" s="88"/>
      <c r="C149" s="88"/>
      <c r="D149" s="88"/>
      <c r="E149" s="88"/>
      <c r="F149" s="88"/>
      <c r="G149" s="88"/>
      <c r="H149" s="88"/>
      <c r="I149" s="88"/>
      <c r="J149" s="88"/>
      <c r="K149" s="88"/>
      <c r="L149" s="88"/>
      <c r="M149" s="88"/>
      <c r="N149" s="88"/>
      <c r="O149" s="88"/>
      <c r="P149" s="88"/>
      <c r="Q149" s="88"/>
      <c r="R149" s="88"/>
      <c r="S149" s="88"/>
      <c r="T149" s="88"/>
      <c r="U149" s="88"/>
      <c r="V149" s="88"/>
      <c r="W149" s="88"/>
      <c r="X149" s="88"/>
      <c r="Y149" s="88"/>
      <c r="Z149" s="88"/>
      <c r="AA149" s="88"/>
      <c r="AB149" s="88"/>
      <c r="AC149" s="88"/>
      <c r="AD149" s="88"/>
      <c r="AE149" s="88"/>
      <c r="AF149" s="88"/>
      <c r="AG149" s="88"/>
      <c r="AH149" s="88"/>
      <c r="AI149" s="88"/>
      <c r="AJ149" s="88"/>
      <c r="AK149" s="13"/>
    </row>
    <row r="150" spans="1:37" ht="13.5" customHeight="1" x14ac:dyDescent="0.15">
      <c r="A150" s="9"/>
      <c r="B150" s="88"/>
      <c r="C150" s="88"/>
      <c r="D150" s="88"/>
      <c r="E150" s="88"/>
      <c r="F150" s="88"/>
      <c r="G150" s="88"/>
      <c r="H150" s="88"/>
      <c r="I150" s="88"/>
      <c r="J150" s="88"/>
      <c r="K150" s="88"/>
      <c r="L150" s="88"/>
      <c r="M150" s="88"/>
      <c r="N150" s="88"/>
      <c r="O150" s="88"/>
      <c r="P150" s="88"/>
      <c r="Q150" s="88"/>
      <c r="R150" s="88"/>
      <c r="S150" s="88"/>
      <c r="T150" s="88"/>
      <c r="U150" s="88"/>
      <c r="V150" s="88"/>
      <c r="W150" s="88"/>
      <c r="X150" s="88"/>
      <c r="Y150" s="88"/>
      <c r="Z150" s="88"/>
      <c r="AA150" s="88"/>
      <c r="AB150" s="88"/>
      <c r="AC150" s="88"/>
      <c r="AD150" s="88"/>
      <c r="AE150" s="88"/>
      <c r="AF150" s="88"/>
      <c r="AG150" s="88"/>
      <c r="AH150" s="88"/>
      <c r="AI150" s="88"/>
      <c r="AJ150" s="88"/>
      <c r="AK150" s="13"/>
    </row>
    <row r="151" spans="1:37" ht="13.5" customHeight="1" x14ac:dyDescent="0.15">
      <c r="A151" s="9"/>
      <c r="B151" s="88"/>
      <c r="C151" s="88"/>
      <c r="D151" s="88"/>
      <c r="E151" s="88"/>
      <c r="F151" s="88"/>
      <c r="G151" s="88"/>
      <c r="H151" s="88"/>
      <c r="I151" s="88"/>
      <c r="J151" s="88"/>
      <c r="K151" s="88"/>
      <c r="L151" s="88"/>
      <c r="M151" s="88"/>
      <c r="N151" s="88"/>
      <c r="O151" s="88"/>
      <c r="P151" s="88"/>
      <c r="Q151" s="88"/>
      <c r="R151" s="88"/>
      <c r="S151" s="88"/>
      <c r="T151" s="88"/>
      <c r="U151" s="88"/>
      <c r="V151" s="88"/>
      <c r="W151" s="88"/>
      <c r="X151" s="88"/>
      <c r="Y151" s="88"/>
      <c r="Z151" s="88"/>
      <c r="AA151" s="88"/>
      <c r="AB151" s="88"/>
      <c r="AC151" s="88"/>
      <c r="AD151" s="88"/>
      <c r="AE151" s="88"/>
      <c r="AF151" s="88"/>
      <c r="AG151" s="88"/>
      <c r="AH151" s="88"/>
      <c r="AI151" s="88"/>
      <c r="AJ151" s="88"/>
      <c r="AK151" s="13"/>
    </row>
    <row r="152" spans="1:37" ht="13.5" customHeight="1" x14ac:dyDescent="0.15">
      <c r="A152" s="9"/>
      <c r="B152" s="88"/>
      <c r="C152" s="88"/>
      <c r="D152" s="88"/>
      <c r="E152" s="88"/>
      <c r="F152" s="88"/>
      <c r="G152" s="88"/>
      <c r="H152" s="88"/>
      <c r="I152" s="88"/>
      <c r="J152" s="88"/>
      <c r="K152" s="88"/>
      <c r="L152" s="88"/>
      <c r="M152" s="88"/>
      <c r="N152" s="88"/>
      <c r="O152" s="88"/>
      <c r="P152" s="88"/>
      <c r="Q152" s="88"/>
      <c r="R152" s="88"/>
      <c r="S152" s="88"/>
      <c r="T152" s="88"/>
      <c r="U152" s="88"/>
      <c r="V152" s="88"/>
      <c r="W152" s="88"/>
      <c r="X152" s="88"/>
      <c r="Y152" s="88"/>
      <c r="Z152" s="88"/>
      <c r="AA152" s="88"/>
      <c r="AB152" s="88"/>
      <c r="AC152" s="88"/>
      <c r="AD152" s="88"/>
      <c r="AE152" s="88"/>
      <c r="AF152" s="88"/>
      <c r="AG152" s="88"/>
      <c r="AH152" s="88"/>
      <c r="AI152" s="88"/>
      <c r="AJ152" s="88"/>
      <c r="AK152" s="13"/>
    </row>
    <row r="153" spans="1:37" ht="13.5" customHeight="1" x14ac:dyDescent="0.15">
      <c r="A153" s="9"/>
      <c r="B153" s="88"/>
      <c r="C153" s="88"/>
      <c r="D153" s="88"/>
      <c r="E153" s="88"/>
      <c r="F153" s="88"/>
      <c r="G153" s="88"/>
      <c r="H153" s="88"/>
      <c r="I153" s="88"/>
      <c r="J153" s="88"/>
      <c r="K153" s="88"/>
      <c r="L153" s="88"/>
      <c r="M153" s="88"/>
      <c r="N153" s="88"/>
      <c r="O153" s="88"/>
      <c r="P153" s="88"/>
      <c r="Q153" s="88"/>
      <c r="R153" s="88"/>
      <c r="S153" s="88"/>
      <c r="T153" s="88"/>
      <c r="U153" s="88"/>
      <c r="V153" s="88"/>
      <c r="W153" s="88"/>
      <c r="X153" s="88"/>
      <c r="Y153" s="88"/>
      <c r="Z153" s="88"/>
      <c r="AA153" s="88"/>
      <c r="AB153" s="88"/>
      <c r="AC153" s="88"/>
      <c r="AD153" s="88"/>
      <c r="AE153" s="88"/>
      <c r="AF153" s="88"/>
      <c r="AG153" s="88"/>
      <c r="AH153" s="88"/>
      <c r="AI153" s="88"/>
      <c r="AJ153" s="88"/>
      <c r="AK153" s="13"/>
    </row>
    <row r="154" spans="1:37" ht="13.5" customHeight="1" x14ac:dyDescent="0.15">
      <c r="A154" s="9"/>
      <c r="B154" s="88"/>
      <c r="C154" s="88"/>
      <c r="D154" s="88"/>
      <c r="E154" s="88"/>
      <c r="F154" s="88"/>
      <c r="G154" s="88"/>
      <c r="H154" s="88"/>
      <c r="I154" s="88"/>
      <c r="J154" s="88"/>
      <c r="K154" s="88"/>
      <c r="L154" s="88"/>
      <c r="M154" s="88"/>
      <c r="N154" s="88"/>
      <c r="O154" s="88"/>
      <c r="P154" s="88"/>
      <c r="Q154" s="88"/>
      <c r="R154" s="88"/>
      <c r="S154" s="88"/>
      <c r="T154" s="88"/>
      <c r="U154" s="88"/>
      <c r="V154" s="88"/>
      <c r="W154" s="88"/>
      <c r="X154" s="88"/>
      <c r="Y154" s="88"/>
      <c r="Z154" s="88"/>
      <c r="AA154" s="88"/>
      <c r="AB154" s="88"/>
      <c r="AC154" s="88"/>
      <c r="AD154" s="88"/>
      <c r="AE154" s="88"/>
      <c r="AF154" s="88"/>
      <c r="AG154" s="88"/>
      <c r="AH154" s="88"/>
      <c r="AI154" s="88"/>
      <c r="AJ154" s="88"/>
      <c r="AK154" s="13"/>
    </row>
    <row r="155" spans="1:37" ht="13.5" customHeight="1" x14ac:dyDescent="0.15">
      <c r="A155" s="9"/>
      <c r="B155" s="88"/>
      <c r="C155" s="88"/>
      <c r="D155" s="88"/>
      <c r="E155" s="88"/>
      <c r="F155" s="88"/>
      <c r="G155" s="88"/>
      <c r="H155" s="88"/>
      <c r="I155" s="88"/>
      <c r="J155" s="88"/>
      <c r="K155" s="88"/>
      <c r="L155" s="88"/>
      <c r="M155" s="88"/>
      <c r="N155" s="88"/>
      <c r="O155" s="88"/>
      <c r="P155" s="88"/>
      <c r="Q155" s="88"/>
      <c r="R155" s="88"/>
      <c r="S155" s="88"/>
      <c r="T155" s="88"/>
      <c r="U155" s="88"/>
      <c r="V155" s="88"/>
      <c r="W155" s="88"/>
      <c r="X155" s="88"/>
      <c r="Y155" s="88"/>
      <c r="Z155" s="88"/>
      <c r="AA155" s="88"/>
      <c r="AB155" s="88"/>
      <c r="AC155" s="88"/>
      <c r="AD155" s="88"/>
      <c r="AE155" s="88"/>
      <c r="AF155" s="88"/>
      <c r="AG155" s="88"/>
      <c r="AH155" s="88"/>
      <c r="AI155" s="88"/>
      <c r="AJ155" s="88"/>
      <c r="AK155" s="13"/>
    </row>
    <row r="156" spans="1:37" ht="13.5" customHeight="1" x14ac:dyDescent="0.15">
      <c r="A156" s="9"/>
      <c r="B156" s="88"/>
      <c r="C156" s="88"/>
      <c r="D156" s="88"/>
      <c r="E156" s="88"/>
      <c r="F156" s="88"/>
      <c r="G156" s="88"/>
      <c r="H156" s="88"/>
      <c r="I156" s="88"/>
      <c r="J156" s="88"/>
      <c r="K156" s="88"/>
      <c r="L156" s="88"/>
      <c r="M156" s="88"/>
      <c r="N156" s="88"/>
      <c r="O156" s="88"/>
      <c r="P156" s="88"/>
      <c r="Q156" s="88"/>
      <c r="R156" s="88"/>
      <c r="S156" s="88"/>
      <c r="T156" s="88"/>
      <c r="U156" s="88"/>
      <c r="V156" s="88"/>
      <c r="W156" s="88"/>
      <c r="X156" s="88"/>
      <c r="Y156" s="88"/>
      <c r="Z156" s="88"/>
      <c r="AA156" s="88"/>
      <c r="AB156" s="88"/>
      <c r="AC156" s="88"/>
      <c r="AD156" s="88"/>
      <c r="AE156" s="88"/>
      <c r="AF156" s="88"/>
      <c r="AG156" s="88"/>
      <c r="AH156" s="88"/>
      <c r="AI156" s="88"/>
      <c r="AJ156" s="88"/>
      <c r="AK156" s="13"/>
    </row>
    <row r="157" spans="1:37" ht="13.5" customHeight="1" x14ac:dyDescent="0.15">
      <c r="A157" s="9"/>
      <c r="B157" s="88"/>
      <c r="C157" s="88"/>
      <c r="D157" s="88"/>
      <c r="E157" s="88"/>
      <c r="F157" s="88"/>
      <c r="G157" s="88"/>
      <c r="H157" s="88"/>
      <c r="I157" s="88"/>
      <c r="J157" s="88"/>
      <c r="K157" s="88"/>
      <c r="L157" s="88"/>
      <c r="M157" s="88"/>
      <c r="N157" s="88"/>
      <c r="O157" s="88"/>
      <c r="P157" s="88"/>
      <c r="Q157" s="88"/>
      <c r="R157" s="88"/>
      <c r="S157" s="88"/>
      <c r="T157" s="88"/>
      <c r="U157" s="88"/>
      <c r="V157" s="88"/>
      <c r="W157" s="88"/>
      <c r="X157" s="88"/>
      <c r="Y157" s="88"/>
      <c r="Z157" s="88"/>
      <c r="AA157" s="88"/>
      <c r="AB157" s="88"/>
      <c r="AC157" s="88"/>
      <c r="AD157" s="88"/>
      <c r="AE157" s="88"/>
      <c r="AF157" s="88"/>
      <c r="AG157" s="88"/>
      <c r="AH157" s="88"/>
      <c r="AI157" s="88"/>
      <c r="AJ157" s="88"/>
      <c r="AK157" s="13"/>
    </row>
    <row r="158" spans="1:37" ht="13.5" customHeight="1" x14ac:dyDescent="0.15">
      <c r="A158" s="9"/>
      <c r="B158" s="88"/>
      <c r="C158" s="88"/>
      <c r="D158" s="88"/>
      <c r="E158" s="88"/>
      <c r="F158" s="88"/>
      <c r="G158" s="88"/>
      <c r="H158" s="88"/>
      <c r="I158" s="88"/>
      <c r="J158" s="88"/>
      <c r="K158" s="88"/>
      <c r="L158" s="88"/>
      <c r="M158" s="88"/>
      <c r="N158" s="88"/>
      <c r="O158" s="88"/>
      <c r="P158" s="88"/>
      <c r="Q158" s="88"/>
      <c r="R158" s="88"/>
      <c r="S158" s="88"/>
      <c r="T158" s="88"/>
      <c r="U158" s="88"/>
      <c r="V158" s="88"/>
      <c r="W158" s="88"/>
      <c r="X158" s="88"/>
      <c r="Y158" s="88"/>
      <c r="Z158" s="88"/>
      <c r="AA158" s="88"/>
      <c r="AB158" s="88"/>
      <c r="AC158" s="88"/>
      <c r="AD158" s="88"/>
      <c r="AE158" s="88"/>
      <c r="AF158" s="88"/>
      <c r="AG158" s="88"/>
      <c r="AH158" s="88"/>
      <c r="AI158" s="88"/>
      <c r="AJ158" s="88"/>
      <c r="AK158" s="13"/>
    </row>
    <row r="159" spans="1:37" ht="13.5" customHeight="1" x14ac:dyDescent="0.15">
      <c r="A159" s="9"/>
      <c r="B159" s="88"/>
      <c r="C159" s="88"/>
      <c r="D159" s="88"/>
      <c r="E159" s="88"/>
      <c r="F159" s="88"/>
      <c r="G159" s="88"/>
      <c r="H159" s="88"/>
      <c r="I159" s="88"/>
      <c r="J159" s="88"/>
      <c r="K159" s="88"/>
      <c r="L159" s="88"/>
      <c r="M159" s="88"/>
      <c r="N159" s="88"/>
      <c r="O159" s="88"/>
      <c r="P159" s="88"/>
      <c r="Q159" s="88"/>
      <c r="R159" s="88"/>
      <c r="S159" s="88"/>
      <c r="T159" s="88"/>
      <c r="U159" s="88"/>
      <c r="V159" s="88"/>
      <c r="W159" s="88"/>
      <c r="X159" s="88"/>
      <c r="Y159" s="88"/>
      <c r="Z159" s="88"/>
      <c r="AA159" s="88"/>
      <c r="AB159" s="88"/>
      <c r="AC159" s="88"/>
      <c r="AD159" s="88"/>
      <c r="AE159" s="88"/>
      <c r="AF159" s="88"/>
      <c r="AG159" s="88"/>
      <c r="AH159" s="88"/>
      <c r="AI159" s="88"/>
      <c r="AJ159" s="88"/>
      <c r="AK159" s="13"/>
    </row>
    <row r="160" spans="1:37" ht="13.5" customHeight="1" x14ac:dyDescent="0.15">
      <c r="A160" s="9"/>
      <c r="B160" s="88"/>
      <c r="C160" s="88"/>
      <c r="D160" s="88"/>
      <c r="E160" s="88"/>
      <c r="F160" s="88"/>
      <c r="G160" s="88"/>
      <c r="H160" s="88"/>
      <c r="I160" s="88"/>
      <c r="J160" s="88"/>
      <c r="K160" s="88"/>
      <c r="L160" s="88"/>
      <c r="M160" s="88"/>
      <c r="N160" s="88"/>
      <c r="O160" s="88"/>
      <c r="P160" s="88"/>
      <c r="Q160" s="88"/>
      <c r="R160" s="88"/>
      <c r="S160" s="88"/>
      <c r="T160" s="88"/>
      <c r="U160" s="88"/>
      <c r="V160" s="88"/>
      <c r="W160" s="88"/>
      <c r="X160" s="88"/>
      <c r="Y160" s="88"/>
      <c r="Z160" s="88"/>
      <c r="AA160" s="88"/>
      <c r="AB160" s="88"/>
      <c r="AC160" s="88"/>
      <c r="AD160" s="88"/>
      <c r="AE160" s="88"/>
      <c r="AF160" s="88"/>
      <c r="AG160" s="88"/>
      <c r="AH160" s="88"/>
      <c r="AI160" s="88"/>
      <c r="AJ160" s="88"/>
      <c r="AK160" s="13"/>
    </row>
    <row r="161" spans="1:37" ht="13.5" customHeight="1" x14ac:dyDescent="0.15">
      <c r="A161" s="9"/>
      <c r="B161" s="88"/>
      <c r="C161" s="88"/>
      <c r="D161" s="88"/>
      <c r="E161" s="88"/>
      <c r="F161" s="88"/>
      <c r="G161" s="88"/>
      <c r="H161" s="88"/>
      <c r="I161" s="88"/>
      <c r="J161" s="88"/>
      <c r="K161" s="88"/>
      <c r="L161" s="88"/>
      <c r="M161" s="88"/>
      <c r="N161" s="88"/>
      <c r="O161" s="88"/>
      <c r="P161" s="88"/>
      <c r="Q161" s="88"/>
      <c r="R161" s="88"/>
      <c r="S161" s="88"/>
      <c r="T161" s="88"/>
      <c r="U161" s="88"/>
      <c r="V161" s="88"/>
      <c r="W161" s="88"/>
      <c r="X161" s="88"/>
      <c r="Y161" s="88"/>
      <c r="Z161" s="88"/>
      <c r="AA161" s="88"/>
      <c r="AB161" s="88"/>
      <c r="AC161" s="88"/>
      <c r="AD161" s="88"/>
      <c r="AE161" s="88"/>
      <c r="AF161" s="88"/>
      <c r="AG161" s="88"/>
      <c r="AH161" s="88"/>
      <c r="AI161" s="88"/>
      <c r="AJ161" s="88"/>
      <c r="AK161" s="13"/>
    </row>
    <row r="162" spans="1:37" ht="13.5" customHeight="1" x14ac:dyDescent="0.15">
      <c r="A162" s="9"/>
      <c r="B162" s="88"/>
      <c r="C162" s="88"/>
      <c r="D162" s="88"/>
      <c r="E162" s="88"/>
      <c r="F162" s="88"/>
      <c r="G162" s="88"/>
      <c r="H162" s="88"/>
      <c r="I162" s="88"/>
      <c r="J162" s="88"/>
      <c r="K162" s="88"/>
      <c r="L162" s="88"/>
      <c r="M162" s="88"/>
      <c r="N162" s="88"/>
      <c r="O162" s="88"/>
      <c r="P162" s="88"/>
      <c r="Q162" s="88"/>
      <c r="R162" s="88"/>
      <c r="S162" s="88"/>
      <c r="T162" s="88"/>
      <c r="U162" s="88"/>
      <c r="V162" s="88"/>
      <c r="W162" s="88"/>
      <c r="X162" s="88"/>
      <c r="Y162" s="88"/>
      <c r="Z162" s="88"/>
      <c r="AA162" s="88"/>
      <c r="AB162" s="88"/>
      <c r="AC162" s="88"/>
      <c r="AD162" s="88"/>
      <c r="AE162" s="88"/>
      <c r="AF162" s="88"/>
      <c r="AG162" s="88"/>
      <c r="AH162" s="88"/>
      <c r="AI162" s="88"/>
      <c r="AJ162" s="88"/>
      <c r="AK162" s="13"/>
    </row>
    <row r="163" spans="1:37" ht="13.5" customHeight="1" x14ac:dyDescent="0.15">
      <c r="A163" s="9"/>
      <c r="B163" s="88"/>
      <c r="C163" s="88"/>
      <c r="D163" s="88"/>
      <c r="E163" s="88"/>
      <c r="F163" s="88"/>
      <c r="G163" s="88"/>
      <c r="H163" s="88"/>
      <c r="I163" s="88"/>
      <c r="J163" s="88"/>
      <c r="K163" s="88"/>
      <c r="L163" s="88"/>
      <c r="M163" s="88"/>
      <c r="N163" s="88"/>
      <c r="O163" s="88"/>
      <c r="P163" s="88"/>
      <c r="Q163" s="88"/>
      <c r="R163" s="88"/>
      <c r="S163" s="88"/>
      <c r="T163" s="88"/>
      <c r="U163" s="88"/>
      <c r="V163" s="88"/>
      <c r="W163" s="88"/>
      <c r="X163" s="88"/>
      <c r="Y163" s="88"/>
      <c r="Z163" s="88"/>
      <c r="AA163" s="88"/>
      <c r="AB163" s="88"/>
      <c r="AC163" s="88"/>
      <c r="AD163" s="88"/>
      <c r="AE163" s="88"/>
      <c r="AF163" s="88"/>
      <c r="AG163" s="88"/>
      <c r="AH163" s="88"/>
      <c r="AI163" s="88"/>
      <c r="AJ163" s="88"/>
      <c r="AK163" s="13"/>
    </row>
    <row r="164" spans="1:37" ht="13.5" customHeight="1" x14ac:dyDescent="0.15">
      <c r="A164" s="9"/>
      <c r="B164" s="88"/>
      <c r="C164" s="88"/>
      <c r="D164" s="88"/>
      <c r="E164" s="88"/>
      <c r="F164" s="88"/>
      <c r="G164" s="88"/>
      <c r="H164" s="88"/>
      <c r="I164" s="88"/>
      <c r="J164" s="88"/>
      <c r="K164" s="88"/>
      <c r="L164" s="88"/>
      <c r="M164" s="88"/>
      <c r="N164" s="88"/>
      <c r="O164" s="88"/>
      <c r="P164" s="88"/>
      <c r="Q164" s="88"/>
      <c r="R164" s="88"/>
      <c r="S164" s="88"/>
      <c r="T164" s="88"/>
      <c r="U164" s="88"/>
      <c r="V164" s="88"/>
      <c r="W164" s="88"/>
      <c r="X164" s="88"/>
      <c r="Y164" s="88"/>
      <c r="Z164" s="88"/>
      <c r="AA164" s="88"/>
      <c r="AB164" s="88"/>
      <c r="AC164" s="88"/>
      <c r="AD164" s="88"/>
      <c r="AE164" s="88"/>
      <c r="AF164" s="88"/>
      <c r="AG164" s="88"/>
      <c r="AH164" s="88"/>
      <c r="AI164" s="88"/>
      <c r="AJ164" s="88"/>
      <c r="AK164" s="13"/>
    </row>
    <row r="165" spans="1:37" ht="13.5" customHeight="1" x14ac:dyDescent="0.15">
      <c r="A165" s="9"/>
      <c r="B165" s="88"/>
      <c r="C165" s="88"/>
      <c r="D165" s="88"/>
      <c r="E165" s="88"/>
      <c r="F165" s="88"/>
      <c r="G165" s="88"/>
      <c r="H165" s="88"/>
      <c r="I165" s="88"/>
      <c r="J165" s="88"/>
      <c r="K165" s="88"/>
      <c r="L165" s="88"/>
      <c r="M165" s="88"/>
      <c r="N165" s="88"/>
      <c r="O165" s="88"/>
      <c r="P165" s="88"/>
      <c r="Q165" s="88"/>
      <c r="R165" s="88"/>
      <c r="S165" s="88"/>
      <c r="T165" s="88"/>
      <c r="U165" s="88"/>
      <c r="V165" s="88"/>
      <c r="W165" s="88"/>
      <c r="X165" s="88"/>
      <c r="Y165" s="88"/>
      <c r="Z165" s="88"/>
      <c r="AA165" s="88"/>
      <c r="AB165" s="88"/>
      <c r="AC165" s="88"/>
      <c r="AD165" s="88"/>
      <c r="AE165" s="88"/>
      <c r="AF165" s="88"/>
      <c r="AG165" s="88"/>
      <c r="AH165" s="88"/>
      <c r="AI165" s="88"/>
      <c r="AJ165" s="88"/>
      <c r="AK165" s="13"/>
    </row>
    <row r="166" spans="1:37" ht="13.5" customHeight="1" x14ac:dyDescent="0.15">
      <c r="A166" s="9"/>
      <c r="B166" s="88"/>
      <c r="C166" s="88"/>
      <c r="D166" s="88"/>
      <c r="E166" s="88"/>
      <c r="F166" s="88"/>
      <c r="G166" s="88"/>
      <c r="H166" s="88"/>
      <c r="I166" s="88"/>
      <c r="J166" s="88"/>
      <c r="K166" s="88"/>
      <c r="L166" s="88"/>
      <c r="M166" s="88"/>
      <c r="N166" s="88"/>
      <c r="O166" s="88"/>
      <c r="P166" s="88"/>
      <c r="Q166" s="88"/>
      <c r="R166" s="88"/>
      <c r="S166" s="88"/>
      <c r="T166" s="88"/>
      <c r="U166" s="88"/>
      <c r="V166" s="88"/>
      <c r="W166" s="88"/>
      <c r="X166" s="88"/>
      <c r="Y166" s="88"/>
      <c r="Z166" s="88"/>
      <c r="AA166" s="88"/>
      <c r="AB166" s="88"/>
      <c r="AC166" s="88"/>
      <c r="AD166" s="88"/>
      <c r="AE166" s="88"/>
      <c r="AF166" s="88"/>
      <c r="AG166" s="88"/>
      <c r="AH166" s="88"/>
      <c r="AI166" s="88"/>
      <c r="AJ166" s="88"/>
      <c r="AK166" s="13"/>
    </row>
    <row r="167" spans="1:37" ht="13.5" customHeight="1" x14ac:dyDescent="0.15">
      <c r="A167" s="9"/>
      <c r="B167" s="88"/>
      <c r="C167" s="88"/>
      <c r="D167" s="88"/>
      <c r="E167" s="88"/>
      <c r="F167" s="88"/>
      <c r="G167" s="88"/>
      <c r="H167" s="88"/>
      <c r="I167" s="88"/>
      <c r="J167" s="88"/>
      <c r="K167" s="88"/>
      <c r="L167" s="88"/>
      <c r="M167" s="88"/>
      <c r="N167" s="88"/>
      <c r="O167" s="88"/>
      <c r="P167" s="88"/>
      <c r="Q167" s="88"/>
      <c r="R167" s="88"/>
      <c r="S167" s="88"/>
      <c r="T167" s="88"/>
      <c r="U167" s="88"/>
      <c r="V167" s="88"/>
      <c r="W167" s="88"/>
      <c r="X167" s="88"/>
      <c r="Y167" s="88"/>
      <c r="Z167" s="88"/>
      <c r="AA167" s="88"/>
      <c r="AB167" s="88"/>
      <c r="AC167" s="88"/>
      <c r="AD167" s="88"/>
      <c r="AE167" s="88"/>
      <c r="AF167" s="88"/>
      <c r="AG167" s="88"/>
      <c r="AH167" s="88"/>
      <c r="AI167" s="88"/>
      <c r="AJ167" s="88"/>
      <c r="AK167" s="13"/>
    </row>
    <row r="168" spans="1:37" ht="13.5" customHeight="1" x14ac:dyDescent="0.15">
      <c r="A168" s="9"/>
      <c r="B168" s="88"/>
      <c r="C168" s="88"/>
      <c r="D168" s="88"/>
      <c r="E168" s="88"/>
      <c r="F168" s="88"/>
      <c r="G168" s="88"/>
      <c r="H168" s="88"/>
      <c r="I168" s="88"/>
      <c r="J168" s="88"/>
      <c r="K168" s="88"/>
      <c r="L168" s="88"/>
      <c r="M168" s="88"/>
      <c r="N168" s="88"/>
      <c r="O168" s="88"/>
      <c r="P168" s="88"/>
      <c r="Q168" s="88"/>
      <c r="R168" s="88"/>
      <c r="S168" s="88"/>
      <c r="T168" s="88"/>
      <c r="U168" s="88"/>
      <c r="V168" s="88"/>
      <c r="W168" s="88"/>
      <c r="X168" s="88"/>
      <c r="Y168" s="88"/>
      <c r="Z168" s="88"/>
      <c r="AA168" s="88"/>
      <c r="AB168" s="88"/>
      <c r="AC168" s="88"/>
      <c r="AD168" s="88"/>
      <c r="AE168" s="88"/>
      <c r="AF168" s="88"/>
      <c r="AG168" s="88"/>
      <c r="AH168" s="88"/>
      <c r="AI168" s="88"/>
      <c r="AJ168" s="88"/>
      <c r="AK168" s="13"/>
    </row>
    <row r="169" spans="1:37" ht="13.5" customHeight="1" x14ac:dyDescent="0.15">
      <c r="A169" s="9"/>
      <c r="B169" s="88"/>
      <c r="C169" s="88"/>
      <c r="D169" s="88"/>
      <c r="E169" s="88"/>
      <c r="F169" s="88"/>
      <c r="G169" s="88"/>
      <c r="H169" s="88"/>
      <c r="I169" s="88"/>
      <c r="J169" s="88"/>
      <c r="K169" s="88"/>
      <c r="L169" s="88"/>
      <c r="M169" s="88"/>
      <c r="N169" s="88"/>
      <c r="O169" s="88"/>
      <c r="P169" s="88"/>
      <c r="Q169" s="88"/>
      <c r="R169" s="88"/>
      <c r="S169" s="88"/>
      <c r="T169" s="88"/>
      <c r="U169" s="88"/>
      <c r="V169" s="88"/>
      <c r="W169" s="88"/>
      <c r="X169" s="88"/>
      <c r="Y169" s="88"/>
      <c r="Z169" s="88"/>
      <c r="AA169" s="88"/>
      <c r="AB169" s="88"/>
      <c r="AC169" s="88"/>
      <c r="AD169" s="88"/>
      <c r="AE169" s="88"/>
      <c r="AF169" s="88"/>
      <c r="AG169" s="88"/>
      <c r="AH169" s="88"/>
      <c r="AI169" s="88"/>
      <c r="AJ169" s="88"/>
      <c r="AK169" s="13"/>
    </row>
    <row r="170" spans="1:37" ht="13.5" customHeight="1" x14ac:dyDescent="0.15">
      <c r="A170" s="9"/>
      <c r="B170" s="88"/>
      <c r="C170" s="88"/>
      <c r="D170" s="88"/>
      <c r="E170" s="88"/>
      <c r="F170" s="88"/>
      <c r="G170" s="88"/>
      <c r="H170" s="88"/>
      <c r="I170" s="88"/>
      <c r="J170" s="88"/>
      <c r="K170" s="88"/>
      <c r="L170" s="88"/>
      <c r="M170" s="88"/>
      <c r="N170" s="88"/>
      <c r="O170" s="88"/>
      <c r="P170" s="88"/>
      <c r="Q170" s="88"/>
      <c r="R170" s="88"/>
      <c r="S170" s="88"/>
      <c r="T170" s="88"/>
      <c r="U170" s="88"/>
      <c r="V170" s="88"/>
      <c r="W170" s="88"/>
      <c r="X170" s="88"/>
      <c r="Y170" s="88"/>
      <c r="Z170" s="88"/>
      <c r="AA170" s="88"/>
      <c r="AB170" s="88"/>
      <c r="AC170" s="88"/>
      <c r="AD170" s="88"/>
      <c r="AE170" s="88"/>
      <c r="AF170" s="88"/>
      <c r="AG170" s="88"/>
      <c r="AH170" s="88"/>
      <c r="AI170" s="88"/>
      <c r="AJ170" s="88"/>
      <c r="AK170" s="13"/>
    </row>
    <row r="171" spans="1:37" ht="13.5" customHeight="1" x14ac:dyDescent="0.15">
      <c r="A171" s="9"/>
      <c r="B171" s="88"/>
      <c r="C171" s="88"/>
      <c r="D171" s="88"/>
      <c r="E171" s="88"/>
      <c r="F171" s="88"/>
      <c r="G171" s="88"/>
      <c r="H171" s="88"/>
      <c r="I171" s="88"/>
      <c r="J171" s="88"/>
      <c r="K171" s="88"/>
      <c r="L171" s="88"/>
      <c r="M171" s="88"/>
      <c r="N171" s="88"/>
      <c r="O171" s="88"/>
      <c r="P171" s="88"/>
      <c r="Q171" s="88"/>
      <c r="R171" s="88"/>
      <c r="S171" s="88"/>
      <c r="T171" s="88"/>
      <c r="U171" s="88"/>
      <c r="V171" s="88"/>
      <c r="W171" s="11"/>
      <c r="X171" s="88"/>
      <c r="Y171" s="88"/>
      <c r="Z171" s="88"/>
      <c r="AA171" s="88"/>
      <c r="AB171" s="88"/>
      <c r="AC171" s="88"/>
      <c r="AD171" s="88"/>
      <c r="AE171" s="88"/>
      <c r="AF171" s="88"/>
      <c r="AG171" s="88"/>
      <c r="AH171" s="88"/>
      <c r="AI171" s="88"/>
      <c r="AJ171" s="88"/>
      <c r="AK171" s="13"/>
    </row>
    <row r="172" spans="1:37" ht="13.5" customHeight="1" x14ac:dyDescent="0.15">
      <c r="A172" s="9"/>
      <c r="B172" s="88"/>
      <c r="C172" s="88"/>
      <c r="D172" s="88"/>
      <c r="E172" s="88"/>
      <c r="F172" s="88"/>
      <c r="G172" s="88"/>
      <c r="H172" s="88"/>
      <c r="I172" s="88"/>
      <c r="J172" s="88"/>
      <c r="K172" s="88"/>
      <c r="L172" s="88"/>
      <c r="M172" s="88"/>
      <c r="N172" s="88"/>
      <c r="O172" s="88"/>
      <c r="P172" s="88"/>
      <c r="Q172" s="88"/>
      <c r="R172" s="88"/>
      <c r="S172" s="88"/>
      <c r="T172" s="88"/>
      <c r="U172" s="88"/>
      <c r="V172" s="88"/>
      <c r="W172" s="11"/>
      <c r="X172" s="88"/>
      <c r="Y172" s="88"/>
      <c r="Z172" s="88"/>
      <c r="AA172" s="88"/>
      <c r="AB172" s="88"/>
      <c r="AC172" s="88"/>
      <c r="AD172" s="88"/>
      <c r="AE172" s="88"/>
      <c r="AF172" s="88"/>
      <c r="AG172" s="88"/>
      <c r="AH172" s="11"/>
      <c r="AI172" s="11"/>
      <c r="AJ172" s="11"/>
      <c r="AK172" s="13"/>
    </row>
    <row r="173" spans="1:37" ht="13.5" customHeight="1" x14ac:dyDescent="0.15">
      <c r="A173" s="9"/>
      <c r="B173" s="88"/>
      <c r="C173" s="88"/>
      <c r="D173" s="88"/>
      <c r="E173" s="88"/>
      <c r="F173" s="88"/>
      <c r="G173" s="88"/>
      <c r="H173" s="88"/>
      <c r="I173" s="88"/>
      <c r="J173" s="88"/>
      <c r="K173" s="88"/>
      <c r="L173" s="88"/>
      <c r="M173" s="88"/>
      <c r="N173" s="88"/>
      <c r="O173" s="88"/>
      <c r="P173" s="88"/>
      <c r="Q173" s="88"/>
      <c r="R173" s="88"/>
      <c r="S173" s="88"/>
      <c r="T173" s="88"/>
      <c r="U173" s="88"/>
      <c r="V173" s="88"/>
      <c r="W173" s="11"/>
      <c r="X173" s="88"/>
      <c r="Y173" s="88"/>
      <c r="Z173" s="88"/>
      <c r="AA173" s="88"/>
      <c r="AB173" s="88"/>
      <c r="AC173" s="88"/>
      <c r="AD173" s="88"/>
      <c r="AE173" s="88"/>
      <c r="AF173" s="88"/>
      <c r="AG173" s="88"/>
      <c r="AH173" s="11"/>
      <c r="AI173" s="11"/>
      <c r="AJ173" s="11"/>
      <c r="AK173" s="13"/>
    </row>
    <row r="174" spans="1:37" ht="13.5" customHeight="1" x14ac:dyDescent="0.15">
      <c r="A174" s="9"/>
      <c r="B174" s="88"/>
      <c r="C174" s="88"/>
      <c r="D174" s="88"/>
      <c r="E174" s="88"/>
      <c r="F174" s="88"/>
      <c r="G174" s="88"/>
      <c r="H174" s="88"/>
      <c r="I174" s="88"/>
      <c r="J174" s="88"/>
      <c r="K174" s="88"/>
      <c r="L174" s="88"/>
      <c r="M174" s="88"/>
      <c r="N174" s="88"/>
      <c r="O174" s="88"/>
      <c r="P174" s="88"/>
      <c r="Q174" s="88"/>
      <c r="R174" s="88"/>
      <c r="S174" s="88"/>
      <c r="T174" s="88"/>
      <c r="U174" s="88"/>
      <c r="V174" s="88"/>
      <c r="W174" s="11"/>
      <c r="X174" s="88"/>
      <c r="Y174" s="88"/>
      <c r="Z174" s="88"/>
      <c r="AA174" s="88"/>
      <c r="AB174" s="88"/>
      <c r="AC174" s="88"/>
      <c r="AD174" s="88"/>
      <c r="AE174" s="88"/>
      <c r="AF174" s="88"/>
      <c r="AG174" s="88"/>
      <c r="AH174" s="11"/>
      <c r="AI174" s="11"/>
      <c r="AJ174" s="11"/>
      <c r="AK174" s="13"/>
    </row>
    <row r="175" spans="1:37" ht="13.5" customHeight="1" x14ac:dyDescent="0.15">
      <c r="A175" s="9"/>
      <c r="B175" s="88"/>
      <c r="C175" s="88"/>
      <c r="D175" s="88"/>
      <c r="E175" s="88"/>
      <c r="F175" s="88"/>
      <c r="G175" s="88"/>
      <c r="H175" s="88"/>
      <c r="I175" s="88"/>
      <c r="J175" s="88"/>
      <c r="K175" s="88"/>
      <c r="L175" s="88"/>
      <c r="M175" s="88"/>
      <c r="N175" s="88"/>
      <c r="O175" s="88"/>
      <c r="P175" s="88"/>
      <c r="Q175" s="88"/>
      <c r="R175" s="88"/>
      <c r="S175" s="88"/>
      <c r="T175" s="88"/>
      <c r="U175" s="88"/>
      <c r="V175" s="88"/>
      <c r="W175" s="11"/>
      <c r="X175" s="88"/>
      <c r="Y175" s="88"/>
      <c r="Z175" s="88"/>
      <c r="AA175" s="88"/>
      <c r="AB175" s="88"/>
      <c r="AC175" s="88"/>
      <c r="AD175" s="88"/>
      <c r="AE175" s="88"/>
      <c r="AF175" s="88"/>
      <c r="AG175" s="88"/>
      <c r="AH175" s="11"/>
      <c r="AI175" s="89"/>
      <c r="AJ175" s="121" t="s">
        <v>166</v>
      </c>
      <c r="AK175" s="91"/>
    </row>
    <row r="176" spans="1:37" ht="13.5" customHeight="1" x14ac:dyDescent="0.15">
      <c r="A176" s="9"/>
      <c r="B176" s="88"/>
      <c r="C176" s="88"/>
      <c r="D176" s="88"/>
      <c r="E176" s="88"/>
      <c r="F176" s="88"/>
      <c r="G176" s="88"/>
      <c r="H176" s="88"/>
      <c r="I176" s="88"/>
      <c r="J176" s="88"/>
      <c r="K176" s="88"/>
      <c r="L176" s="88"/>
      <c r="M176" s="88"/>
      <c r="N176" s="88"/>
      <c r="O176" s="88"/>
      <c r="P176" s="88"/>
      <c r="Q176" s="88"/>
      <c r="R176" s="88"/>
      <c r="S176" s="88"/>
      <c r="T176" s="88"/>
      <c r="U176" s="88"/>
      <c r="V176" s="88"/>
      <c r="W176" s="88"/>
      <c r="X176" s="88"/>
      <c r="Y176" s="88"/>
      <c r="Z176" s="88"/>
      <c r="AA176" s="88"/>
      <c r="AB176" s="88"/>
      <c r="AC176" s="88"/>
      <c r="AD176" s="88"/>
      <c r="AE176" s="88"/>
      <c r="AF176" s="88"/>
      <c r="AG176" s="88"/>
      <c r="AH176" s="11"/>
      <c r="AI176" s="122"/>
      <c r="AJ176" s="123"/>
      <c r="AK176" s="124" t="s">
        <v>204</v>
      </c>
    </row>
    <row r="177" spans="1:37" ht="13.5" customHeight="1" x14ac:dyDescent="0.15">
      <c r="A177" s="9"/>
      <c r="B177" s="88"/>
      <c r="C177" s="88"/>
      <c r="D177" s="88"/>
      <c r="E177" s="88"/>
      <c r="F177" s="88"/>
      <c r="G177" s="88"/>
      <c r="H177" s="88"/>
      <c r="I177" s="88"/>
      <c r="J177" s="88"/>
      <c r="K177" s="88"/>
      <c r="L177" s="88"/>
      <c r="M177" s="88"/>
      <c r="N177" s="88"/>
      <c r="O177" s="88"/>
      <c r="P177" s="88"/>
      <c r="Q177" s="88"/>
      <c r="R177" s="88"/>
      <c r="S177" s="88"/>
      <c r="T177" s="88"/>
      <c r="U177" s="88"/>
      <c r="V177" s="88"/>
      <c r="W177" s="88"/>
      <c r="X177" s="88"/>
      <c r="Y177" s="88"/>
      <c r="Z177" s="88"/>
      <c r="AA177" s="88"/>
      <c r="AB177" s="88"/>
      <c r="AC177" s="88"/>
      <c r="AD177" s="88"/>
      <c r="AE177" s="88"/>
      <c r="AF177" s="88"/>
      <c r="AG177" s="88"/>
      <c r="AH177" s="88"/>
      <c r="AI177" s="125"/>
      <c r="AJ177" s="88"/>
      <c r="AK177" s="126"/>
    </row>
    <row r="178" spans="1:37" ht="13.5" customHeight="1" x14ac:dyDescent="0.15">
      <c r="A178" s="9"/>
      <c r="B178" s="88"/>
      <c r="C178" s="88"/>
      <c r="D178" s="88"/>
      <c r="E178" s="88"/>
      <c r="F178" s="88"/>
      <c r="G178" s="88"/>
      <c r="H178" s="88"/>
      <c r="I178" s="88"/>
      <c r="J178" s="88"/>
      <c r="K178" s="88"/>
      <c r="L178" s="88"/>
      <c r="M178" s="88"/>
      <c r="N178" s="88"/>
      <c r="O178" s="88"/>
      <c r="P178" s="88"/>
      <c r="Q178" s="88"/>
      <c r="R178" s="88"/>
      <c r="S178" s="88"/>
      <c r="T178" s="88"/>
      <c r="U178" s="88"/>
      <c r="V178" s="88"/>
      <c r="W178" s="88"/>
      <c r="X178" s="88"/>
      <c r="Y178" s="88"/>
      <c r="Z178" s="88"/>
      <c r="AA178" s="88"/>
      <c r="AB178" s="88"/>
      <c r="AC178" s="88"/>
      <c r="AD178" s="88"/>
      <c r="AE178" s="88"/>
      <c r="AF178" s="88"/>
      <c r="AG178" s="88"/>
      <c r="AH178" s="88"/>
      <c r="AI178" s="125"/>
      <c r="AJ178" s="88"/>
      <c r="AK178" s="126" t="s">
        <v>94</v>
      </c>
    </row>
    <row r="179" spans="1:37" ht="13.5" customHeight="1" x14ac:dyDescent="0.15">
      <c r="A179" s="9"/>
      <c r="B179" s="88"/>
      <c r="C179" s="88"/>
      <c r="D179" s="88"/>
      <c r="E179" s="88"/>
      <c r="F179" s="88"/>
      <c r="G179" s="88"/>
      <c r="H179" s="88"/>
      <c r="I179" s="88"/>
      <c r="J179" s="88"/>
      <c r="K179" s="88"/>
      <c r="L179" s="88"/>
      <c r="M179" s="88"/>
      <c r="N179" s="88"/>
      <c r="O179" s="88"/>
      <c r="P179" s="88"/>
      <c r="Q179" s="88"/>
      <c r="R179" s="88"/>
      <c r="S179" s="88"/>
      <c r="T179" s="88"/>
      <c r="U179" s="88"/>
      <c r="V179" s="88"/>
      <c r="W179" s="88"/>
      <c r="X179" s="88"/>
      <c r="Y179" s="88"/>
      <c r="Z179" s="88"/>
      <c r="AA179" s="88"/>
      <c r="AB179" s="88"/>
      <c r="AC179" s="88"/>
      <c r="AD179" s="88"/>
      <c r="AE179" s="88"/>
      <c r="AF179" s="88"/>
      <c r="AG179" s="88"/>
      <c r="AH179" s="88"/>
      <c r="AI179" s="125"/>
      <c r="AJ179" s="88"/>
      <c r="AK179" s="126"/>
    </row>
    <row r="180" spans="1:37" ht="13.5" customHeight="1" x14ac:dyDescent="0.15">
      <c r="A180" s="9"/>
      <c r="B180" s="88"/>
      <c r="C180" s="88"/>
      <c r="D180" s="88"/>
      <c r="E180" s="88"/>
      <c r="F180" s="88"/>
      <c r="G180" s="88"/>
      <c r="H180" s="88"/>
      <c r="I180" s="88"/>
      <c r="J180" s="88"/>
      <c r="K180" s="88"/>
      <c r="L180" s="88"/>
      <c r="M180" s="88"/>
      <c r="N180" s="88"/>
      <c r="O180" s="88"/>
      <c r="P180" s="88"/>
      <c r="Q180" s="88"/>
      <c r="R180" s="88"/>
      <c r="S180" s="88"/>
      <c r="T180" s="88"/>
      <c r="U180" s="88"/>
      <c r="V180" s="88"/>
      <c r="W180" s="88"/>
      <c r="X180" s="88"/>
      <c r="Y180" s="88"/>
      <c r="Z180" s="88"/>
      <c r="AA180" s="88"/>
      <c r="AB180" s="88"/>
      <c r="AC180" s="88"/>
      <c r="AD180" s="88"/>
      <c r="AE180" s="88"/>
      <c r="AF180" s="88"/>
      <c r="AG180" s="88"/>
      <c r="AH180" s="88"/>
      <c r="AI180" s="125"/>
      <c r="AJ180" s="88"/>
      <c r="AK180" s="126" t="s">
        <v>165</v>
      </c>
    </row>
    <row r="181" spans="1:37" ht="13.5" customHeight="1" x14ac:dyDescent="0.15">
      <c r="A181" s="9"/>
      <c r="B181" s="88"/>
      <c r="C181" s="88"/>
      <c r="D181" s="88"/>
      <c r="E181" s="88"/>
      <c r="F181" s="88"/>
      <c r="G181" s="88"/>
      <c r="H181" s="88"/>
      <c r="I181" s="88"/>
      <c r="J181" s="88"/>
      <c r="K181" s="88"/>
      <c r="L181" s="88"/>
      <c r="M181" s="88"/>
      <c r="N181" s="88"/>
      <c r="O181" s="88"/>
      <c r="P181" s="88"/>
      <c r="Q181" s="88"/>
      <c r="R181" s="88"/>
      <c r="S181" s="88"/>
      <c r="T181" s="88"/>
      <c r="U181" s="88"/>
      <c r="V181" s="88"/>
      <c r="W181" s="88"/>
      <c r="X181" s="88"/>
      <c r="Y181" s="88"/>
      <c r="Z181" s="88"/>
      <c r="AA181" s="88"/>
      <c r="AB181" s="88"/>
      <c r="AC181" s="88"/>
      <c r="AD181" s="88"/>
      <c r="AE181" s="88"/>
      <c r="AF181" s="88"/>
      <c r="AG181" s="88"/>
      <c r="AH181" s="88"/>
      <c r="AI181" s="125"/>
      <c r="AJ181" s="88"/>
      <c r="AK181" s="126"/>
    </row>
    <row r="182" spans="1:37" ht="13.5" customHeight="1" x14ac:dyDescent="0.15">
      <c r="A182" s="9"/>
      <c r="B182" s="88"/>
      <c r="C182" s="88"/>
      <c r="D182" s="88"/>
      <c r="E182" s="88"/>
      <c r="F182" s="88"/>
      <c r="G182" s="88"/>
      <c r="H182" s="88"/>
      <c r="I182" s="88"/>
      <c r="J182" s="88"/>
      <c r="K182" s="88"/>
      <c r="L182" s="88"/>
      <c r="M182" s="88"/>
      <c r="N182" s="88"/>
      <c r="O182" s="88"/>
      <c r="P182" s="88"/>
      <c r="Q182" s="88"/>
      <c r="R182" s="88"/>
      <c r="S182" s="88"/>
      <c r="T182" s="88"/>
      <c r="U182" s="88"/>
      <c r="V182" s="88"/>
      <c r="W182" s="88"/>
      <c r="X182" s="88"/>
      <c r="Y182" s="88"/>
      <c r="Z182" s="88"/>
      <c r="AA182" s="88"/>
      <c r="AB182" s="88"/>
      <c r="AC182" s="88"/>
      <c r="AD182" s="88"/>
      <c r="AE182" s="88"/>
      <c r="AF182" s="88"/>
      <c r="AG182" s="88"/>
      <c r="AH182" s="88"/>
      <c r="AI182" s="125"/>
      <c r="AJ182" s="88"/>
      <c r="AK182" s="126" t="s">
        <v>203</v>
      </c>
    </row>
    <row r="183" spans="1:37" ht="13.5" customHeight="1" x14ac:dyDescent="0.15">
      <c r="A183" s="14"/>
      <c r="B183" s="15"/>
      <c r="C183" s="15"/>
      <c r="D183" s="15"/>
      <c r="E183" s="15"/>
      <c r="F183" s="15"/>
      <c r="G183" s="15"/>
      <c r="H183" s="15"/>
      <c r="I183" s="15"/>
      <c r="J183" s="15"/>
      <c r="K183" s="15"/>
      <c r="L183" s="15"/>
      <c r="M183" s="15"/>
      <c r="N183" s="15"/>
      <c r="O183" s="15"/>
      <c r="P183" s="15"/>
      <c r="Q183" s="15"/>
      <c r="R183" s="15"/>
      <c r="S183" s="15"/>
      <c r="T183" s="15"/>
      <c r="U183" s="15"/>
      <c r="V183" s="15"/>
      <c r="W183" s="15"/>
      <c r="X183" s="15"/>
      <c r="Y183" s="15"/>
      <c r="Z183" s="15"/>
      <c r="AA183" s="15"/>
      <c r="AB183" s="15"/>
      <c r="AC183" s="15"/>
      <c r="AD183" s="15"/>
      <c r="AE183" s="15"/>
      <c r="AF183" s="15"/>
      <c r="AG183" s="15"/>
      <c r="AH183" s="15"/>
      <c r="AI183" s="14"/>
      <c r="AJ183" s="15"/>
      <c r="AK183" s="16"/>
    </row>
  </sheetData>
  <mergeCells count="38">
    <mergeCell ref="AI123:AK123"/>
    <mergeCell ref="G124:I124"/>
    <mergeCell ref="AB124:AC125"/>
    <mergeCell ref="AD124:AF125"/>
    <mergeCell ref="AG124:AH125"/>
    <mergeCell ref="AI124:AK125"/>
    <mergeCell ref="G125:I125"/>
    <mergeCell ref="A123:F125"/>
    <mergeCell ref="G123:I123"/>
    <mergeCell ref="AB123:AC123"/>
    <mergeCell ref="AD123:AF123"/>
    <mergeCell ref="AG123:AH123"/>
    <mergeCell ref="AE53:AK53"/>
    <mergeCell ref="A62:F64"/>
    <mergeCell ref="G62:I62"/>
    <mergeCell ref="AB62:AC62"/>
    <mergeCell ref="AD62:AF62"/>
    <mergeCell ref="AG62:AH62"/>
    <mergeCell ref="AI62:AK62"/>
    <mergeCell ref="G63:I63"/>
    <mergeCell ref="AB63:AC64"/>
    <mergeCell ref="AD63:AF64"/>
    <mergeCell ref="AG63:AH64"/>
    <mergeCell ref="AI63:AK64"/>
    <mergeCell ref="G64:I64"/>
    <mergeCell ref="AM1:AP1"/>
    <mergeCell ref="G2:I2"/>
    <mergeCell ref="AB2:AC3"/>
    <mergeCell ref="AD2:AF3"/>
    <mergeCell ref="AG2:AH3"/>
    <mergeCell ref="AI2:AK3"/>
    <mergeCell ref="G3:I3"/>
    <mergeCell ref="AI1:AK1"/>
    <mergeCell ref="A1:F3"/>
    <mergeCell ref="G1:I1"/>
    <mergeCell ref="AB1:AC1"/>
    <mergeCell ref="AD1:AF1"/>
    <mergeCell ref="AG1:AH1"/>
  </mergeCells>
  <phoneticPr fontId="1"/>
  <printOptions horizontalCentered="1"/>
  <pageMargins left="0.23622047244094491" right="0.23622047244094491" top="0.39370078740157483" bottom="0.39370078740157483" header="0" footer="0"/>
  <pageSetup paperSize="8" fitToHeight="0" orientation="landscape" r:id="rId1"/>
  <headerFooter alignWithMargins="0">
    <oddFooter>&amp;L&amp;F&amp;R&amp;P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64577" r:id="rId4" name="Button 1">
              <controlPr defaultSize="0" print="0" autoFill="0" autoPict="0" macro="[0]!Sheet2.CreateER">
                <anchor moveWithCells="1" sizeWithCells="1">
                  <from>
                    <xdr:col>33</xdr:col>
                    <xdr:colOff>352425</xdr:colOff>
                    <xdr:row>4</xdr:row>
                    <xdr:rowOff>76200</xdr:rowOff>
                  </from>
                  <to>
                    <xdr:col>36</xdr:col>
                    <xdr:colOff>381000</xdr:colOff>
                    <xdr:row>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AW43"/>
  <sheetViews>
    <sheetView showGridLines="0" view="pageBreakPreview" zoomScale="85" zoomScaleNormal="85" zoomScaleSheetLayoutView="85" workbookViewId="0">
      <selection activeCell="O34" sqref="O34:X34"/>
    </sheetView>
  </sheetViews>
  <sheetFormatPr defaultColWidth="5.625" defaultRowHeight="13.5" x14ac:dyDescent="0.15"/>
  <cols>
    <col min="1" max="1" width="5.625" style="12" customWidth="1"/>
    <col min="2" max="15" width="5.625" style="4" customWidth="1"/>
    <col min="16" max="16" width="5.625" style="12" customWidth="1"/>
    <col min="17" max="25" width="5.625" style="4"/>
    <col min="26" max="29" width="5.625" style="12"/>
    <col min="30" max="31" width="5.625" style="117"/>
    <col min="32" max="33" width="5.625" style="12"/>
    <col min="34" max="35" width="5.625" style="117"/>
    <col min="36" max="42" width="5.625" style="4"/>
    <col min="43" max="46" width="5.625" style="116"/>
    <col min="47" max="48" width="5.625" style="4"/>
    <col min="49" max="49" width="12.75" style="149" bestFit="1" customWidth="1"/>
    <col min="50" max="248" width="5.625" style="4"/>
    <col min="249" max="264" width="5.625" style="4" customWidth="1"/>
    <col min="265" max="504" width="5.625" style="4"/>
    <col min="505" max="520" width="5.625" style="4" customWidth="1"/>
    <col min="521" max="760" width="5.625" style="4"/>
    <col min="761" max="776" width="5.625" style="4" customWidth="1"/>
    <col min="777" max="1016" width="5.625" style="4"/>
    <col min="1017" max="1032" width="5.625" style="4" customWidth="1"/>
    <col min="1033" max="1272" width="5.625" style="4"/>
    <col min="1273" max="1288" width="5.625" style="4" customWidth="1"/>
    <col min="1289" max="1528" width="5.625" style="4"/>
    <col min="1529" max="1544" width="5.625" style="4" customWidth="1"/>
    <col min="1545" max="1784" width="5.625" style="4"/>
    <col min="1785" max="1800" width="5.625" style="4" customWidth="1"/>
    <col min="1801" max="2040" width="5.625" style="4"/>
    <col min="2041" max="2056" width="5.625" style="4" customWidth="1"/>
    <col min="2057" max="2296" width="5.625" style="4"/>
    <col min="2297" max="2312" width="5.625" style="4" customWidth="1"/>
    <col min="2313" max="2552" width="5.625" style="4"/>
    <col min="2553" max="2568" width="5.625" style="4" customWidth="1"/>
    <col min="2569" max="2808" width="5.625" style="4"/>
    <col min="2809" max="2824" width="5.625" style="4" customWidth="1"/>
    <col min="2825" max="3064" width="5.625" style="4"/>
    <col min="3065" max="3080" width="5.625" style="4" customWidth="1"/>
    <col min="3081" max="3320" width="5.625" style="4"/>
    <col min="3321" max="3336" width="5.625" style="4" customWidth="1"/>
    <col min="3337" max="3576" width="5.625" style="4"/>
    <col min="3577" max="3592" width="5.625" style="4" customWidth="1"/>
    <col min="3593" max="3832" width="5.625" style="4"/>
    <col min="3833" max="3848" width="5.625" style="4" customWidth="1"/>
    <col min="3849" max="4088" width="5.625" style="4"/>
    <col min="4089" max="4104" width="5.625" style="4" customWidth="1"/>
    <col min="4105" max="4344" width="5.625" style="4"/>
    <col min="4345" max="4360" width="5.625" style="4" customWidth="1"/>
    <col min="4361" max="4600" width="5.625" style="4"/>
    <col min="4601" max="4616" width="5.625" style="4" customWidth="1"/>
    <col min="4617" max="4856" width="5.625" style="4"/>
    <col min="4857" max="4872" width="5.625" style="4" customWidth="1"/>
    <col min="4873" max="5112" width="5.625" style="4"/>
    <col min="5113" max="5128" width="5.625" style="4" customWidth="1"/>
    <col min="5129" max="5368" width="5.625" style="4"/>
    <col min="5369" max="5384" width="5.625" style="4" customWidth="1"/>
    <col min="5385" max="5624" width="5.625" style="4"/>
    <col min="5625" max="5640" width="5.625" style="4" customWidth="1"/>
    <col min="5641" max="5880" width="5.625" style="4"/>
    <col min="5881" max="5896" width="5.625" style="4" customWidth="1"/>
    <col min="5897" max="6136" width="5.625" style="4"/>
    <col min="6137" max="6152" width="5.625" style="4" customWidth="1"/>
    <col min="6153" max="6392" width="5.625" style="4"/>
    <col min="6393" max="6408" width="5.625" style="4" customWidth="1"/>
    <col min="6409" max="6648" width="5.625" style="4"/>
    <col min="6649" max="6664" width="5.625" style="4" customWidth="1"/>
    <col min="6665" max="6904" width="5.625" style="4"/>
    <col min="6905" max="6920" width="5.625" style="4" customWidth="1"/>
    <col min="6921" max="7160" width="5.625" style="4"/>
    <col min="7161" max="7176" width="5.625" style="4" customWidth="1"/>
    <col min="7177" max="7416" width="5.625" style="4"/>
    <col min="7417" max="7432" width="5.625" style="4" customWidth="1"/>
    <col min="7433" max="7672" width="5.625" style="4"/>
    <col min="7673" max="7688" width="5.625" style="4" customWidth="1"/>
    <col min="7689" max="7928" width="5.625" style="4"/>
    <col min="7929" max="7944" width="5.625" style="4" customWidth="1"/>
    <col min="7945" max="8184" width="5.625" style="4"/>
    <col min="8185" max="8200" width="5.625" style="4" customWidth="1"/>
    <col min="8201" max="8440" width="5.625" style="4"/>
    <col min="8441" max="8456" width="5.625" style="4" customWidth="1"/>
    <col min="8457" max="8696" width="5.625" style="4"/>
    <col min="8697" max="8712" width="5.625" style="4" customWidth="1"/>
    <col min="8713" max="8952" width="5.625" style="4"/>
    <col min="8953" max="8968" width="5.625" style="4" customWidth="1"/>
    <col min="8969" max="9208" width="5.625" style="4"/>
    <col min="9209" max="9224" width="5.625" style="4" customWidth="1"/>
    <col min="9225" max="9464" width="5.625" style="4"/>
    <col min="9465" max="9480" width="5.625" style="4" customWidth="1"/>
    <col min="9481" max="9720" width="5.625" style="4"/>
    <col min="9721" max="9736" width="5.625" style="4" customWidth="1"/>
    <col min="9737" max="9976" width="5.625" style="4"/>
    <col min="9977" max="9992" width="5.625" style="4" customWidth="1"/>
    <col min="9993" max="10232" width="5.625" style="4"/>
    <col min="10233" max="10248" width="5.625" style="4" customWidth="1"/>
    <col min="10249" max="10488" width="5.625" style="4"/>
    <col min="10489" max="10504" width="5.625" style="4" customWidth="1"/>
    <col min="10505" max="10744" width="5.625" style="4"/>
    <col min="10745" max="10760" width="5.625" style="4" customWidth="1"/>
    <col min="10761" max="11000" width="5.625" style="4"/>
    <col min="11001" max="11016" width="5.625" style="4" customWidth="1"/>
    <col min="11017" max="11256" width="5.625" style="4"/>
    <col min="11257" max="11272" width="5.625" style="4" customWidth="1"/>
    <col min="11273" max="11512" width="5.625" style="4"/>
    <col min="11513" max="11528" width="5.625" style="4" customWidth="1"/>
    <col min="11529" max="11768" width="5.625" style="4"/>
    <col min="11769" max="11784" width="5.625" style="4" customWidth="1"/>
    <col min="11785" max="12024" width="5.625" style="4"/>
    <col min="12025" max="12040" width="5.625" style="4" customWidth="1"/>
    <col min="12041" max="12280" width="5.625" style="4"/>
    <col min="12281" max="12296" width="5.625" style="4" customWidth="1"/>
    <col min="12297" max="12536" width="5.625" style="4"/>
    <col min="12537" max="12552" width="5.625" style="4" customWidth="1"/>
    <col min="12553" max="12792" width="5.625" style="4"/>
    <col min="12793" max="12808" width="5.625" style="4" customWidth="1"/>
    <col min="12809" max="13048" width="5.625" style="4"/>
    <col min="13049" max="13064" width="5.625" style="4" customWidth="1"/>
    <col min="13065" max="13304" width="5.625" style="4"/>
    <col min="13305" max="13320" width="5.625" style="4" customWidth="1"/>
    <col min="13321" max="13560" width="5.625" style="4"/>
    <col min="13561" max="13576" width="5.625" style="4" customWidth="1"/>
    <col min="13577" max="13816" width="5.625" style="4"/>
    <col min="13817" max="13832" width="5.625" style="4" customWidth="1"/>
    <col min="13833" max="14072" width="5.625" style="4"/>
    <col min="14073" max="14088" width="5.625" style="4" customWidth="1"/>
    <col min="14089" max="14328" width="5.625" style="4"/>
    <col min="14329" max="14344" width="5.625" style="4" customWidth="1"/>
    <col min="14345" max="14584" width="5.625" style="4"/>
    <col min="14585" max="14600" width="5.625" style="4" customWidth="1"/>
    <col min="14601" max="14840" width="5.625" style="4"/>
    <col min="14841" max="14856" width="5.625" style="4" customWidth="1"/>
    <col min="14857" max="15096" width="5.625" style="4"/>
    <col min="15097" max="15112" width="5.625" style="4" customWidth="1"/>
    <col min="15113" max="15352" width="5.625" style="4"/>
    <col min="15353" max="15368" width="5.625" style="4" customWidth="1"/>
    <col min="15369" max="15608" width="5.625" style="4"/>
    <col min="15609" max="15624" width="5.625" style="4" customWidth="1"/>
    <col min="15625" max="15864" width="5.625" style="4"/>
    <col min="15865" max="15880" width="5.625" style="4" customWidth="1"/>
    <col min="15881" max="16120" width="5.625" style="4"/>
    <col min="16121" max="16136" width="5.625" style="4" customWidth="1"/>
    <col min="16137" max="16384" width="5.625" style="4"/>
  </cols>
  <sheetData>
    <row r="1" spans="1:49" ht="13.5" customHeight="1" x14ac:dyDescent="0.15">
      <c r="A1" s="260" t="s">
        <v>123</v>
      </c>
      <c r="B1" s="261"/>
      <c r="C1" s="261"/>
      <c r="D1" s="261"/>
      <c r="E1" s="261"/>
      <c r="F1" s="262"/>
      <c r="G1" s="243" t="s">
        <v>5</v>
      </c>
      <c r="H1" s="245"/>
      <c r="I1" s="244"/>
      <c r="J1" s="21" t="str">
        <f>IF(表紙!I8&lt;&gt;"",表紙!I8,"")</f>
        <v/>
      </c>
      <c r="K1" s="3"/>
      <c r="L1" s="3"/>
      <c r="M1" s="3"/>
      <c r="N1" s="3"/>
      <c r="O1" s="3"/>
      <c r="P1" s="243" t="s">
        <v>8</v>
      </c>
      <c r="Q1" s="244"/>
      <c r="R1" s="243" t="s">
        <v>7</v>
      </c>
      <c r="S1" s="245"/>
      <c r="T1" s="244"/>
      <c r="U1" s="243" t="s">
        <v>9</v>
      </c>
      <c r="V1" s="244"/>
      <c r="W1" s="243" t="s">
        <v>10</v>
      </c>
      <c r="X1" s="245"/>
      <c r="Y1" s="244"/>
    </row>
    <row r="2" spans="1:49" ht="13.5" customHeight="1" x14ac:dyDescent="0.15">
      <c r="A2" s="266"/>
      <c r="B2" s="267"/>
      <c r="C2" s="267"/>
      <c r="D2" s="267"/>
      <c r="E2" s="267"/>
      <c r="F2" s="268"/>
      <c r="G2" s="243" t="s">
        <v>6</v>
      </c>
      <c r="H2" s="245"/>
      <c r="I2" s="244"/>
      <c r="J2" s="21" t="str">
        <f>IF(表紙!I11&lt;&gt;"",表紙!I11,"")</f>
        <v/>
      </c>
      <c r="K2" s="5"/>
      <c r="L2" s="5"/>
      <c r="M2" s="5"/>
      <c r="N2" s="5"/>
      <c r="O2" s="5"/>
      <c r="P2" s="246"/>
      <c r="Q2" s="247"/>
      <c r="R2" s="250"/>
      <c r="S2" s="251"/>
      <c r="T2" s="252"/>
      <c r="U2" s="246"/>
      <c r="V2" s="247"/>
      <c r="W2" s="250"/>
      <c r="X2" s="251"/>
      <c r="Y2" s="252"/>
    </row>
    <row r="3" spans="1:49" ht="13.5" customHeight="1" x14ac:dyDescent="0.15">
      <c r="A3" s="243" t="s">
        <v>82</v>
      </c>
      <c r="B3" s="245"/>
      <c r="C3" s="21" t="str">
        <f ca="1">RIGHT(CELL("filename",A2),LEN(CELL("filename",A2))-FIND("]",CELL("filename",A2)))</f>
        <v>テーブル一覧</v>
      </c>
      <c r="D3" s="5"/>
      <c r="E3" s="5"/>
      <c r="F3" s="5"/>
      <c r="G3" s="243"/>
      <c r="H3" s="245"/>
      <c r="I3" s="244"/>
      <c r="J3" s="21"/>
      <c r="K3" s="5"/>
      <c r="L3" s="5"/>
      <c r="M3" s="5"/>
      <c r="N3" s="5"/>
      <c r="O3" s="5"/>
      <c r="P3" s="248"/>
      <c r="Q3" s="249"/>
      <c r="R3" s="253"/>
      <c r="S3" s="254"/>
      <c r="T3" s="255"/>
      <c r="U3" s="248"/>
      <c r="V3" s="249"/>
      <c r="W3" s="253"/>
      <c r="X3" s="254"/>
      <c r="Y3" s="255"/>
    </row>
    <row r="4" spans="1:49" x14ac:dyDescent="0.15">
      <c r="A4" s="86"/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8"/>
      <c r="Q4" s="11"/>
      <c r="R4" s="11"/>
      <c r="S4" s="11"/>
      <c r="T4" s="11"/>
      <c r="U4" s="11"/>
      <c r="V4" s="11"/>
      <c r="W4" s="11"/>
      <c r="X4" s="11"/>
      <c r="Y4" s="11"/>
      <c r="Z4" s="18"/>
      <c r="AA4" s="18"/>
      <c r="AB4" s="18"/>
      <c r="AC4" s="18"/>
      <c r="AD4" s="118"/>
      <c r="AE4" s="118"/>
      <c r="AF4" s="18"/>
      <c r="AG4" s="18"/>
      <c r="AH4" s="118"/>
    </row>
    <row r="5" spans="1:49" ht="13.5" customHeight="1" x14ac:dyDescent="0.15">
      <c r="A5" s="83" t="s">
        <v>123</v>
      </c>
      <c r="B5" s="84"/>
      <c r="C5" s="84"/>
      <c r="D5" s="84"/>
      <c r="E5" s="84"/>
      <c r="F5" s="84"/>
      <c r="G5" s="84"/>
      <c r="H5" s="84"/>
      <c r="I5" s="84"/>
      <c r="J5" s="84"/>
      <c r="K5" s="84"/>
      <c r="L5" s="84"/>
      <c r="M5" s="84"/>
      <c r="N5" s="84"/>
      <c r="O5" s="84"/>
      <c r="P5" s="84"/>
      <c r="Q5" s="84"/>
      <c r="R5" s="84"/>
      <c r="S5" s="84"/>
      <c r="T5" s="84"/>
      <c r="U5" s="84"/>
      <c r="V5" s="84"/>
      <c r="W5" s="84"/>
      <c r="X5" s="84"/>
      <c r="Y5" s="85"/>
      <c r="AI5" s="119" t="s">
        <v>191</v>
      </c>
    </row>
    <row r="6" spans="1:49" x14ac:dyDescent="0.15">
      <c r="A6" s="6"/>
      <c r="B6" s="7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19"/>
      <c r="Z6" s="293" t="s">
        <v>159</v>
      </c>
      <c r="AA6" s="293"/>
      <c r="AB6" s="293" t="s">
        <v>183</v>
      </c>
      <c r="AC6" s="293"/>
      <c r="AD6" s="293"/>
      <c r="AE6" s="293"/>
      <c r="AF6" s="293" t="str">
        <f>AS6</f>
        <v>5年後</v>
      </c>
      <c r="AG6" s="293"/>
      <c r="AH6" s="293"/>
      <c r="AI6" s="293"/>
      <c r="AK6" s="269" t="s">
        <v>83</v>
      </c>
      <c r="AL6" s="269"/>
      <c r="AM6" s="269"/>
      <c r="AN6" s="269"/>
      <c r="AO6" s="269"/>
      <c r="AP6" s="269"/>
      <c r="AQ6" s="296" t="s">
        <v>160</v>
      </c>
      <c r="AR6" s="297"/>
      <c r="AS6" s="296" t="s">
        <v>163</v>
      </c>
      <c r="AT6" s="297"/>
    </row>
    <row r="7" spans="1:49" x14ac:dyDescent="0.15">
      <c r="A7" s="17"/>
      <c r="B7" s="87" t="s">
        <v>144</v>
      </c>
      <c r="C7" s="269" t="s">
        <v>145</v>
      </c>
      <c r="D7" s="269"/>
      <c r="E7" s="269"/>
      <c r="F7" s="269"/>
      <c r="G7" s="269" t="s">
        <v>146</v>
      </c>
      <c r="H7" s="269"/>
      <c r="I7" s="269"/>
      <c r="J7" s="269"/>
      <c r="K7" s="269"/>
      <c r="L7" s="269"/>
      <c r="M7" s="282" t="s">
        <v>148</v>
      </c>
      <c r="N7" s="283"/>
      <c r="O7" s="279" t="s">
        <v>149</v>
      </c>
      <c r="P7" s="279"/>
      <c r="Q7" s="279"/>
      <c r="R7" s="279"/>
      <c r="S7" s="279"/>
      <c r="T7" s="279"/>
      <c r="U7" s="279"/>
      <c r="V7" s="279"/>
      <c r="W7" s="279"/>
      <c r="X7" s="279"/>
      <c r="Y7" s="13"/>
      <c r="Z7" s="293"/>
      <c r="AA7" s="293"/>
      <c r="AB7" s="286" t="s">
        <v>162</v>
      </c>
      <c r="AC7" s="287"/>
      <c r="AD7" s="289" t="s">
        <v>161</v>
      </c>
      <c r="AE7" s="290"/>
      <c r="AF7" s="286" t="s">
        <v>162</v>
      </c>
      <c r="AG7" s="287"/>
      <c r="AH7" s="289" t="s">
        <v>161</v>
      </c>
      <c r="AI7" s="290"/>
      <c r="AK7" s="269"/>
      <c r="AL7" s="269"/>
      <c r="AM7" s="269"/>
      <c r="AN7" s="269"/>
      <c r="AO7" s="269"/>
      <c r="AP7" s="269"/>
      <c r="AQ7" s="294" t="s">
        <v>162</v>
      </c>
      <c r="AR7" s="294"/>
      <c r="AS7" s="294" t="s">
        <v>162</v>
      </c>
      <c r="AT7" s="294"/>
    </row>
    <row r="8" spans="1:49" x14ac:dyDescent="0.15">
      <c r="A8" s="17"/>
      <c r="B8" s="115" t="s">
        <v>150</v>
      </c>
      <c r="C8" s="280" t="s">
        <v>267</v>
      </c>
      <c r="D8" s="280"/>
      <c r="E8" s="280"/>
      <c r="F8" s="280"/>
      <c r="G8" s="280" t="s">
        <v>239</v>
      </c>
      <c r="H8" s="280"/>
      <c r="I8" s="280"/>
      <c r="J8" s="280"/>
      <c r="K8" s="280"/>
      <c r="L8" s="280"/>
      <c r="M8" s="281" t="s">
        <v>242</v>
      </c>
      <c r="N8" s="281"/>
      <c r="O8" s="280" t="s">
        <v>272</v>
      </c>
      <c r="P8" s="280"/>
      <c r="Q8" s="280"/>
      <c r="R8" s="280"/>
      <c r="S8" s="280"/>
      <c r="T8" s="280"/>
      <c r="U8" s="280"/>
      <c r="V8" s="280"/>
      <c r="W8" s="280"/>
      <c r="X8" s="280"/>
      <c r="Y8" s="13"/>
      <c r="Z8" s="284">
        <v>412</v>
      </c>
      <c r="AA8" s="285"/>
      <c r="AB8" s="284">
        <f t="shared" ref="AB8:AB42" ca="1" si="0">SUMIF(AK:AP,G8,AQ:AR)</f>
        <v>0</v>
      </c>
      <c r="AC8" s="288"/>
      <c r="AD8" s="291">
        <f ca="1">(Z8*AB8*2+60)/1024</f>
        <v>5.859375E-2</v>
      </c>
      <c r="AE8" s="292"/>
      <c r="AF8" s="284">
        <f t="shared" ref="AF8:AF42" ca="1" si="1">SUMIF(AK:AP,G8,AS:AT)</f>
        <v>0</v>
      </c>
      <c r="AG8" s="288"/>
      <c r="AH8" s="291">
        <f ca="1">(Z8*AF8*2+60)/1024</f>
        <v>5.859375E-2</v>
      </c>
      <c r="AI8" s="292"/>
      <c r="AK8" s="280"/>
      <c r="AL8" s="280"/>
      <c r="AM8" s="280"/>
      <c r="AN8" s="280"/>
      <c r="AO8" s="280"/>
      <c r="AP8" s="280"/>
      <c r="AQ8" s="295">
        <v>20</v>
      </c>
      <c r="AR8" s="295"/>
      <c r="AS8" s="295">
        <v>30</v>
      </c>
      <c r="AT8" s="295"/>
      <c r="AW8" s="149">
        <v>1470</v>
      </c>
    </row>
    <row r="9" spans="1:49" x14ac:dyDescent="0.15">
      <c r="A9" s="17"/>
      <c r="B9" s="115" t="s">
        <v>151</v>
      </c>
      <c r="C9" s="280" t="s">
        <v>284</v>
      </c>
      <c r="D9" s="280"/>
      <c r="E9" s="280"/>
      <c r="F9" s="280"/>
      <c r="G9" s="280" t="s">
        <v>239</v>
      </c>
      <c r="H9" s="280"/>
      <c r="I9" s="280"/>
      <c r="J9" s="280"/>
      <c r="K9" s="280"/>
      <c r="L9" s="280"/>
      <c r="M9" s="281" t="s">
        <v>242</v>
      </c>
      <c r="N9" s="281"/>
      <c r="O9" s="280" t="s">
        <v>292</v>
      </c>
      <c r="P9" s="280"/>
      <c r="Q9" s="280"/>
      <c r="R9" s="280"/>
      <c r="S9" s="280"/>
      <c r="T9" s="280"/>
      <c r="U9" s="280"/>
      <c r="V9" s="280"/>
      <c r="W9" s="280"/>
      <c r="X9" s="280"/>
      <c r="Y9" s="13"/>
      <c r="Z9" s="284">
        <v>138</v>
      </c>
      <c r="AA9" s="285"/>
      <c r="AB9" s="284">
        <f t="shared" ca="1" si="0"/>
        <v>0</v>
      </c>
      <c r="AC9" s="288"/>
      <c r="AD9" s="291">
        <f t="shared" ref="AD9:AD42" ca="1" si="2">(Z9*AB9*2+60)/1024</f>
        <v>5.859375E-2</v>
      </c>
      <c r="AE9" s="292"/>
      <c r="AF9" s="284">
        <f t="shared" ca="1" si="1"/>
        <v>0</v>
      </c>
      <c r="AG9" s="288"/>
      <c r="AH9" s="291">
        <f t="shared" ref="AH9:AH42" ca="1" si="3">(Z9*AF9*2+60)/1024</f>
        <v>5.859375E-2</v>
      </c>
      <c r="AI9" s="292"/>
      <c r="AK9" s="280"/>
      <c r="AL9" s="280"/>
      <c r="AM9" s="280"/>
      <c r="AN9" s="280"/>
      <c r="AO9" s="280"/>
      <c r="AP9" s="280"/>
      <c r="AQ9" s="295">
        <v>50</v>
      </c>
      <c r="AR9" s="295"/>
      <c r="AS9" s="295">
        <v>50</v>
      </c>
      <c r="AT9" s="295"/>
      <c r="AW9" s="149">
        <v>11100</v>
      </c>
    </row>
    <row r="10" spans="1:49" x14ac:dyDescent="0.15">
      <c r="A10" s="17"/>
      <c r="B10" s="115" t="s">
        <v>152</v>
      </c>
      <c r="C10" s="280" t="s">
        <v>228</v>
      </c>
      <c r="D10" s="280"/>
      <c r="E10" s="280"/>
      <c r="F10" s="280"/>
      <c r="G10" s="280" t="s">
        <v>239</v>
      </c>
      <c r="H10" s="280"/>
      <c r="I10" s="280"/>
      <c r="J10" s="280"/>
      <c r="K10" s="280"/>
      <c r="L10" s="280"/>
      <c r="M10" s="281" t="s">
        <v>242</v>
      </c>
      <c r="N10" s="281"/>
      <c r="O10" s="280" t="s">
        <v>314</v>
      </c>
      <c r="P10" s="280"/>
      <c r="Q10" s="280"/>
      <c r="R10" s="280"/>
      <c r="S10" s="280"/>
      <c r="T10" s="280"/>
      <c r="U10" s="280"/>
      <c r="V10" s="280"/>
      <c r="W10" s="280"/>
      <c r="X10" s="280"/>
      <c r="Y10" s="13"/>
      <c r="Z10" s="284">
        <v>72</v>
      </c>
      <c r="AA10" s="285"/>
      <c r="AB10" s="284">
        <f t="shared" ca="1" si="0"/>
        <v>0</v>
      </c>
      <c r="AC10" s="288"/>
      <c r="AD10" s="291">
        <f t="shared" ca="1" si="2"/>
        <v>5.859375E-2</v>
      </c>
      <c r="AE10" s="292"/>
      <c r="AF10" s="284">
        <f t="shared" ca="1" si="1"/>
        <v>0</v>
      </c>
      <c r="AG10" s="288"/>
      <c r="AH10" s="291">
        <f t="shared" ca="1" si="3"/>
        <v>5.859375E-2</v>
      </c>
      <c r="AI10" s="292"/>
      <c r="AK10" s="280"/>
      <c r="AL10" s="280"/>
      <c r="AM10" s="280"/>
      <c r="AN10" s="280"/>
      <c r="AO10" s="280"/>
      <c r="AP10" s="280"/>
      <c r="AQ10" s="295">
        <f>AQ8*50</f>
        <v>1000</v>
      </c>
      <c r="AR10" s="295"/>
      <c r="AS10" s="295">
        <f>AS8*50</f>
        <v>1500</v>
      </c>
      <c r="AT10" s="295"/>
      <c r="AW10" s="149">
        <v>297500</v>
      </c>
    </row>
    <row r="11" spans="1:49" x14ac:dyDescent="0.15">
      <c r="A11" s="17"/>
      <c r="B11" s="115" t="s">
        <v>153</v>
      </c>
      <c r="C11" s="280" t="s">
        <v>243</v>
      </c>
      <c r="D11" s="280"/>
      <c r="E11" s="280"/>
      <c r="F11" s="280"/>
      <c r="G11" s="280" t="s">
        <v>239</v>
      </c>
      <c r="H11" s="280"/>
      <c r="I11" s="280"/>
      <c r="J11" s="280"/>
      <c r="K11" s="280"/>
      <c r="L11" s="280"/>
      <c r="M11" s="281" t="s">
        <v>242</v>
      </c>
      <c r="N11" s="281"/>
      <c r="O11" s="280" t="s">
        <v>252</v>
      </c>
      <c r="P11" s="280"/>
      <c r="Q11" s="280"/>
      <c r="R11" s="280"/>
      <c r="S11" s="280"/>
      <c r="T11" s="280"/>
      <c r="U11" s="280"/>
      <c r="V11" s="280"/>
      <c r="W11" s="280"/>
      <c r="X11" s="280"/>
      <c r="Y11" s="13"/>
      <c r="Z11" s="284">
        <v>5</v>
      </c>
      <c r="AA11" s="285"/>
      <c r="AB11" s="284">
        <f t="shared" ca="1" si="0"/>
        <v>0</v>
      </c>
      <c r="AC11" s="288"/>
      <c r="AD11" s="291">
        <f t="shared" ca="1" si="2"/>
        <v>5.859375E-2</v>
      </c>
      <c r="AE11" s="292"/>
      <c r="AF11" s="284">
        <f t="shared" ca="1" si="1"/>
        <v>0</v>
      </c>
      <c r="AG11" s="288"/>
      <c r="AH11" s="291">
        <f t="shared" ca="1" si="3"/>
        <v>5.859375E-2</v>
      </c>
      <c r="AI11" s="292"/>
      <c r="AK11" s="280"/>
      <c r="AL11" s="280"/>
      <c r="AM11" s="280"/>
      <c r="AN11" s="280"/>
      <c r="AO11" s="280"/>
      <c r="AP11" s="280"/>
      <c r="AQ11" s="295">
        <f>AQ26</f>
        <v>143831</v>
      </c>
      <c r="AR11" s="295"/>
      <c r="AS11" s="295">
        <f>AS26</f>
        <v>750000</v>
      </c>
      <c r="AT11" s="295"/>
      <c r="AW11" s="149">
        <v>0</v>
      </c>
    </row>
    <row r="12" spans="1:49" x14ac:dyDescent="0.15">
      <c r="A12" s="17"/>
      <c r="B12" s="115" t="s">
        <v>95</v>
      </c>
      <c r="C12" s="280" t="s">
        <v>248</v>
      </c>
      <c r="D12" s="280"/>
      <c r="E12" s="280"/>
      <c r="F12" s="280"/>
      <c r="G12" s="280" t="s">
        <v>239</v>
      </c>
      <c r="H12" s="280"/>
      <c r="I12" s="280"/>
      <c r="J12" s="280"/>
      <c r="K12" s="280"/>
      <c r="L12" s="280"/>
      <c r="M12" s="281" t="s">
        <v>242</v>
      </c>
      <c r="N12" s="281"/>
      <c r="O12" s="280" t="s">
        <v>247</v>
      </c>
      <c r="P12" s="280"/>
      <c r="Q12" s="280"/>
      <c r="R12" s="280"/>
      <c r="S12" s="280"/>
      <c r="T12" s="280"/>
      <c r="U12" s="280"/>
      <c r="V12" s="280"/>
      <c r="W12" s="280"/>
      <c r="X12" s="280"/>
      <c r="Y12" s="13"/>
      <c r="Z12" s="284">
        <v>16</v>
      </c>
      <c r="AA12" s="285"/>
      <c r="AB12" s="284">
        <f t="shared" ca="1" si="0"/>
        <v>0</v>
      </c>
      <c r="AC12" s="288"/>
      <c r="AD12" s="291">
        <f t="shared" ca="1" si="2"/>
        <v>5.859375E-2</v>
      </c>
      <c r="AE12" s="292"/>
      <c r="AF12" s="284">
        <f t="shared" ca="1" si="1"/>
        <v>0</v>
      </c>
      <c r="AG12" s="288"/>
      <c r="AH12" s="291">
        <f t="shared" ca="1" si="3"/>
        <v>5.859375E-2</v>
      </c>
      <c r="AI12" s="292"/>
      <c r="AK12" s="280"/>
      <c r="AL12" s="280"/>
      <c r="AM12" s="280"/>
      <c r="AN12" s="280"/>
      <c r="AO12" s="280"/>
      <c r="AP12" s="280"/>
      <c r="AQ12" s="295">
        <v>9216</v>
      </c>
      <c r="AR12" s="295"/>
      <c r="AS12" s="295">
        <v>11500</v>
      </c>
      <c r="AT12" s="295"/>
      <c r="AW12" s="149">
        <v>0</v>
      </c>
    </row>
    <row r="13" spans="1:49" x14ac:dyDescent="0.15">
      <c r="A13" s="17"/>
      <c r="B13" s="115" t="s">
        <v>96</v>
      </c>
      <c r="C13" s="280" t="s">
        <v>285</v>
      </c>
      <c r="D13" s="280"/>
      <c r="E13" s="280"/>
      <c r="F13" s="280"/>
      <c r="G13" s="280" t="s">
        <v>239</v>
      </c>
      <c r="H13" s="280"/>
      <c r="I13" s="280"/>
      <c r="J13" s="280"/>
      <c r="K13" s="280"/>
      <c r="L13" s="280"/>
      <c r="M13" s="281" t="s">
        <v>242</v>
      </c>
      <c r="N13" s="281"/>
      <c r="O13" s="280"/>
      <c r="P13" s="280"/>
      <c r="Q13" s="280"/>
      <c r="R13" s="280"/>
      <c r="S13" s="280"/>
      <c r="T13" s="280"/>
      <c r="U13" s="280"/>
      <c r="V13" s="280"/>
      <c r="W13" s="280"/>
      <c r="X13" s="280"/>
      <c r="Y13" s="13"/>
      <c r="Z13" s="284">
        <v>20</v>
      </c>
      <c r="AA13" s="285"/>
      <c r="AB13" s="284">
        <f t="shared" ca="1" si="0"/>
        <v>0</v>
      </c>
      <c r="AC13" s="288"/>
      <c r="AD13" s="291">
        <f t="shared" ca="1" si="2"/>
        <v>5.859375E-2</v>
      </c>
      <c r="AE13" s="292"/>
      <c r="AF13" s="284">
        <f t="shared" ca="1" si="1"/>
        <v>0</v>
      </c>
      <c r="AG13" s="288"/>
      <c r="AH13" s="291">
        <f t="shared" ca="1" si="3"/>
        <v>5.859375E-2</v>
      </c>
      <c r="AI13" s="292"/>
      <c r="AK13" s="280"/>
      <c r="AL13" s="280"/>
      <c r="AM13" s="280"/>
      <c r="AN13" s="280"/>
      <c r="AO13" s="280"/>
      <c r="AP13" s="280"/>
      <c r="AQ13" s="295">
        <v>100</v>
      </c>
      <c r="AR13" s="295"/>
      <c r="AS13" s="295">
        <v>150</v>
      </c>
      <c r="AT13" s="295"/>
      <c r="AW13" s="149">
        <v>0</v>
      </c>
    </row>
    <row r="14" spans="1:49" x14ac:dyDescent="0.15">
      <c r="A14" s="17"/>
      <c r="B14" s="115" t="s">
        <v>97</v>
      </c>
      <c r="C14" s="280" t="s">
        <v>286</v>
      </c>
      <c r="D14" s="280"/>
      <c r="E14" s="280"/>
      <c r="F14" s="280"/>
      <c r="G14" s="280" t="s">
        <v>239</v>
      </c>
      <c r="H14" s="280"/>
      <c r="I14" s="280"/>
      <c r="J14" s="280"/>
      <c r="K14" s="280"/>
      <c r="L14" s="280"/>
      <c r="M14" s="281" t="s">
        <v>242</v>
      </c>
      <c r="N14" s="281"/>
      <c r="O14" s="280" t="s">
        <v>315</v>
      </c>
      <c r="P14" s="280"/>
      <c r="Q14" s="280"/>
      <c r="R14" s="280"/>
      <c r="S14" s="280"/>
      <c r="T14" s="280"/>
      <c r="U14" s="280"/>
      <c r="V14" s="280"/>
      <c r="W14" s="280"/>
      <c r="X14" s="280"/>
      <c r="Y14" s="13"/>
      <c r="Z14" s="284">
        <v>24</v>
      </c>
      <c r="AA14" s="285"/>
      <c r="AB14" s="284">
        <f t="shared" ca="1" si="0"/>
        <v>0</v>
      </c>
      <c r="AC14" s="288"/>
      <c r="AD14" s="291">
        <f t="shared" ca="1" si="2"/>
        <v>5.859375E-2</v>
      </c>
      <c r="AE14" s="292"/>
      <c r="AF14" s="284">
        <f t="shared" ca="1" si="1"/>
        <v>0</v>
      </c>
      <c r="AG14" s="288"/>
      <c r="AH14" s="291">
        <f t="shared" ca="1" si="3"/>
        <v>5.859375E-2</v>
      </c>
      <c r="AI14" s="292"/>
      <c r="AK14" s="280"/>
      <c r="AL14" s="280"/>
      <c r="AM14" s="280"/>
      <c r="AN14" s="280"/>
      <c r="AO14" s="280"/>
      <c r="AP14" s="280"/>
      <c r="AQ14" s="295">
        <v>1</v>
      </c>
      <c r="AR14" s="295"/>
      <c r="AS14" s="295">
        <v>1</v>
      </c>
      <c r="AT14" s="295"/>
      <c r="AW14" s="149">
        <v>320</v>
      </c>
    </row>
    <row r="15" spans="1:49" x14ac:dyDescent="0.15">
      <c r="A15" s="9"/>
      <c r="B15" s="115" t="s">
        <v>98</v>
      </c>
      <c r="C15" s="280" t="s">
        <v>275</v>
      </c>
      <c r="D15" s="280"/>
      <c r="E15" s="280"/>
      <c r="F15" s="280"/>
      <c r="G15" s="280" t="s">
        <v>239</v>
      </c>
      <c r="H15" s="280"/>
      <c r="I15" s="280"/>
      <c r="J15" s="280"/>
      <c r="K15" s="280"/>
      <c r="L15" s="280"/>
      <c r="M15" s="281" t="s">
        <v>242</v>
      </c>
      <c r="N15" s="281"/>
      <c r="O15" s="280" t="s">
        <v>287</v>
      </c>
      <c r="P15" s="280"/>
      <c r="Q15" s="280"/>
      <c r="R15" s="280"/>
      <c r="S15" s="280"/>
      <c r="T15" s="280"/>
      <c r="U15" s="280"/>
      <c r="V15" s="280"/>
      <c r="W15" s="280"/>
      <c r="X15" s="280"/>
      <c r="Y15" s="13"/>
      <c r="Z15" s="284">
        <v>12</v>
      </c>
      <c r="AA15" s="285"/>
      <c r="AB15" s="284">
        <f t="shared" ca="1" si="0"/>
        <v>0</v>
      </c>
      <c r="AC15" s="288"/>
      <c r="AD15" s="291">
        <f t="shared" ca="1" si="2"/>
        <v>5.859375E-2</v>
      </c>
      <c r="AE15" s="292"/>
      <c r="AF15" s="284">
        <f t="shared" ca="1" si="1"/>
        <v>0</v>
      </c>
      <c r="AG15" s="288"/>
      <c r="AH15" s="291">
        <f t="shared" ca="1" si="3"/>
        <v>5.859375E-2</v>
      </c>
      <c r="AI15" s="292"/>
      <c r="AK15" s="280"/>
      <c r="AL15" s="280"/>
      <c r="AM15" s="280"/>
      <c r="AN15" s="280"/>
      <c r="AO15" s="280"/>
      <c r="AP15" s="280"/>
      <c r="AQ15" s="295">
        <v>10</v>
      </c>
      <c r="AR15" s="295"/>
      <c r="AS15" s="295">
        <v>10</v>
      </c>
      <c r="AT15" s="295"/>
      <c r="AW15" s="149">
        <v>360</v>
      </c>
    </row>
    <row r="16" spans="1:49" x14ac:dyDescent="0.15">
      <c r="A16" s="9"/>
      <c r="B16" s="115" t="s">
        <v>99</v>
      </c>
      <c r="C16" s="280" t="s">
        <v>268</v>
      </c>
      <c r="D16" s="280"/>
      <c r="E16" s="280"/>
      <c r="F16" s="280"/>
      <c r="G16" s="280" t="s">
        <v>239</v>
      </c>
      <c r="H16" s="280"/>
      <c r="I16" s="280"/>
      <c r="J16" s="280"/>
      <c r="K16" s="280"/>
      <c r="L16" s="280"/>
      <c r="M16" s="281" t="s">
        <v>242</v>
      </c>
      <c r="N16" s="281"/>
      <c r="O16" s="280" t="s">
        <v>293</v>
      </c>
      <c r="P16" s="280"/>
      <c r="Q16" s="280"/>
      <c r="R16" s="280"/>
      <c r="S16" s="280"/>
      <c r="T16" s="280"/>
      <c r="U16" s="280"/>
      <c r="V16" s="280"/>
      <c r="W16" s="280"/>
      <c r="X16" s="280"/>
      <c r="Y16" s="13"/>
      <c r="Z16" s="284">
        <v>550</v>
      </c>
      <c r="AA16" s="285"/>
      <c r="AB16" s="284">
        <f t="shared" ca="1" si="0"/>
        <v>0</v>
      </c>
      <c r="AC16" s="288"/>
      <c r="AD16" s="291">
        <f t="shared" ca="1" si="2"/>
        <v>5.859375E-2</v>
      </c>
      <c r="AE16" s="292"/>
      <c r="AF16" s="284">
        <f t="shared" ca="1" si="1"/>
        <v>0</v>
      </c>
      <c r="AG16" s="288"/>
      <c r="AH16" s="291">
        <f t="shared" ca="1" si="3"/>
        <v>5.859375E-2</v>
      </c>
      <c r="AI16" s="292"/>
      <c r="AK16" s="280"/>
      <c r="AL16" s="280"/>
      <c r="AM16" s="280"/>
      <c r="AN16" s="280"/>
      <c r="AO16" s="280"/>
      <c r="AP16" s="280"/>
      <c r="AQ16" s="295">
        <v>10</v>
      </c>
      <c r="AR16" s="295"/>
      <c r="AS16" s="295">
        <v>10</v>
      </c>
      <c r="AT16" s="295"/>
      <c r="AW16" s="149">
        <v>360</v>
      </c>
    </row>
    <row r="17" spans="1:49" x14ac:dyDescent="0.15">
      <c r="A17" s="9"/>
      <c r="B17" s="115" t="s">
        <v>100</v>
      </c>
      <c r="C17" s="280" t="s">
        <v>269</v>
      </c>
      <c r="D17" s="280"/>
      <c r="E17" s="280"/>
      <c r="F17" s="280"/>
      <c r="G17" s="280" t="s">
        <v>239</v>
      </c>
      <c r="H17" s="280"/>
      <c r="I17" s="280"/>
      <c r="J17" s="280"/>
      <c r="K17" s="280"/>
      <c r="L17" s="280"/>
      <c r="M17" s="281" t="s">
        <v>242</v>
      </c>
      <c r="N17" s="281"/>
      <c r="O17" s="280" t="s">
        <v>294</v>
      </c>
      <c r="P17" s="280"/>
      <c r="Q17" s="280"/>
      <c r="R17" s="280"/>
      <c r="S17" s="280"/>
      <c r="T17" s="280"/>
      <c r="U17" s="280"/>
      <c r="V17" s="280"/>
      <c r="W17" s="280"/>
      <c r="X17" s="280"/>
      <c r="Y17" s="13"/>
      <c r="Z17" s="284">
        <v>8</v>
      </c>
      <c r="AA17" s="285"/>
      <c r="AB17" s="284">
        <f t="shared" ca="1" si="0"/>
        <v>0</v>
      </c>
      <c r="AC17" s="288"/>
      <c r="AD17" s="291">
        <f t="shared" ca="1" si="2"/>
        <v>5.859375E-2</v>
      </c>
      <c r="AE17" s="292"/>
      <c r="AF17" s="284">
        <f t="shared" ca="1" si="1"/>
        <v>0</v>
      </c>
      <c r="AG17" s="288"/>
      <c r="AH17" s="291">
        <f t="shared" ca="1" si="3"/>
        <v>5.859375E-2</v>
      </c>
      <c r="AI17" s="292"/>
      <c r="AK17" s="280"/>
      <c r="AL17" s="280"/>
      <c r="AM17" s="280"/>
      <c r="AN17" s="280"/>
      <c r="AO17" s="280"/>
      <c r="AP17" s="280"/>
      <c r="AQ17" s="295">
        <v>10</v>
      </c>
      <c r="AR17" s="295"/>
      <c r="AS17" s="295">
        <v>10</v>
      </c>
      <c r="AT17" s="295"/>
      <c r="AW17" s="149">
        <v>360</v>
      </c>
    </row>
    <row r="18" spans="1:49" x14ac:dyDescent="0.15">
      <c r="A18" s="9"/>
      <c r="B18" s="115" t="s">
        <v>101</v>
      </c>
      <c r="C18" s="280" t="s">
        <v>288</v>
      </c>
      <c r="D18" s="280"/>
      <c r="E18" s="280"/>
      <c r="F18" s="280"/>
      <c r="G18" s="280" t="s">
        <v>289</v>
      </c>
      <c r="H18" s="280"/>
      <c r="I18" s="280"/>
      <c r="J18" s="280"/>
      <c r="K18" s="280"/>
      <c r="L18" s="280"/>
      <c r="M18" s="281" t="s">
        <v>290</v>
      </c>
      <c r="N18" s="281"/>
      <c r="O18" s="280"/>
      <c r="P18" s="280"/>
      <c r="Q18" s="280"/>
      <c r="R18" s="280"/>
      <c r="S18" s="280"/>
      <c r="T18" s="280"/>
      <c r="U18" s="280"/>
      <c r="V18" s="280"/>
      <c r="W18" s="280"/>
      <c r="X18" s="280"/>
      <c r="Y18" s="13"/>
      <c r="Z18" s="284">
        <v>20</v>
      </c>
      <c r="AA18" s="285"/>
      <c r="AB18" s="284">
        <f t="shared" ca="1" si="0"/>
        <v>0</v>
      </c>
      <c r="AC18" s="288"/>
      <c r="AD18" s="291">
        <f t="shared" ca="1" si="2"/>
        <v>5.859375E-2</v>
      </c>
      <c r="AE18" s="292"/>
      <c r="AF18" s="284">
        <f t="shared" ca="1" si="1"/>
        <v>0</v>
      </c>
      <c r="AG18" s="288"/>
      <c r="AH18" s="291">
        <f t="shared" ca="1" si="3"/>
        <v>5.859375E-2</v>
      </c>
      <c r="AI18" s="292"/>
      <c r="AK18" s="280"/>
      <c r="AL18" s="280"/>
      <c r="AM18" s="280"/>
      <c r="AN18" s="280"/>
      <c r="AO18" s="280"/>
      <c r="AP18" s="280"/>
      <c r="AQ18" s="295">
        <v>10</v>
      </c>
      <c r="AR18" s="295"/>
      <c r="AS18" s="295">
        <v>10</v>
      </c>
      <c r="AT18" s="295"/>
      <c r="AW18" s="149">
        <v>360</v>
      </c>
    </row>
    <row r="19" spans="1:49" x14ac:dyDescent="0.15">
      <c r="A19" s="9"/>
      <c r="B19" s="115" t="s">
        <v>102</v>
      </c>
      <c r="C19" s="280" t="s">
        <v>295</v>
      </c>
      <c r="D19" s="280"/>
      <c r="E19" s="280"/>
      <c r="F19" s="280"/>
      <c r="G19" s="280" t="s">
        <v>296</v>
      </c>
      <c r="H19" s="280"/>
      <c r="I19" s="280"/>
      <c r="J19" s="280"/>
      <c r="K19" s="280"/>
      <c r="L19" s="280"/>
      <c r="M19" s="281" t="s">
        <v>297</v>
      </c>
      <c r="N19" s="281"/>
      <c r="O19" s="280"/>
      <c r="P19" s="280"/>
      <c r="Q19" s="280"/>
      <c r="R19" s="280"/>
      <c r="S19" s="280"/>
      <c r="T19" s="280"/>
      <c r="U19" s="280"/>
      <c r="V19" s="280"/>
      <c r="W19" s="280"/>
      <c r="X19" s="280"/>
      <c r="Y19" s="13"/>
      <c r="Z19" s="284">
        <v>12</v>
      </c>
      <c r="AA19" s="285"/>
      <c r="AB19" s="284">
        <f t="shared" ca="1" si="0"/>
        <v>0</v>
      </c>
      <c r="AC19" s="288"/>
      <c r="AD19" s="291">
        <f t="shared" ca="1" si="2"/>
        <v>5.859375E-2</v>
      </c>
      <c r="AE19" s="292"/>
      <c r="AF19" s="284">
        <f t="shared" ca="1" si="1"/>
        <v>0</v>
      </c>
      <c r="AG19" s="288"/>
      <c r="AH19" s="291">
        <f t="shared" ca="1" si="3"/>
        <v>5.859375E-2</v>
      </c>
      <c r="AI19" s="292"/>
      <c r="AK19" s="280"/>
      <c r="AL19" s="280"/>
      <c r="AM19" s="280"/>
      <c r="AN19" s="280"/>
      <c r="AO19" s="280"/>
      <c r="AP19" s="280"/>
      <c r="AQ19" s="295">
        <v>10</v>
      </c>
      <c r="AR19" s="295"/>
      <c r="AS19" s="295">
        <v>10</v>
      </c>
      <c r="AT19" s="295"/>
      <c r="AW19" s="149">
        <v>360</v>
      </c>
    </row>
    <row r="20" spans="1:49" x14ac:dyDescent="0.15">
      <c r="A20" s="9"/>
      <c r="B20" s="115" t="s">
        <v>103</v>
      </c>
      <c r="C20" s="280" t="s">
        <v>316</v>
      </c>
      <c r="D20" s="280"/>
      <c r="E20" s="280"/>
      <c r="F20" s="280"/>
      <c r="G20" s="280" t="s">
        <v>296</v>
      </c>
      <c r="H20" s="280"/>
      <c r="I20" s="280"/>
      <c r="J20" s="280"/>
      <c r="K20" s="280"/>
      <c r="L20" s="280"/>
      <c r="M20" s="281" t="s">
        <v>297</v>
      </c>
      <c r="N20" s="281"/>
      <c r="O20" s="280" t="s">
        <v>317</v>
      </c>
      <c r="P20" s="280"/>
      <c r="Q20" s="280"/>
      <c r="R20" s="280"/>
      <c r="S20" s="280"/>
      <c r="T20" s="280"/>
      <c r="U20" s="280"/>
      <c r="V20" s="280"/>
      <c r="W20" s="280"/>
      <c r="X20" s="280"/>
      <c r="Y20" s="13"/>
      <c r="Z20" s="284">
        <v>16</v>
      </c>
      <c r="AA20" s="285"/>
      <c r="AB20" s="284">
        <f t="shared" ca="1" si="0"/>
        <v>0</v>
      </c>
      <c r="AC20" s="288"/>
      <c r="AD20" s="291">
        <f t="shared" ca="1" si="2"/>
        <v>5.859375E-2</v>
      </c>
      <c r="AE20" s="292"/>
      <c r="AF20" s="284">
        <f t="shared" ca="1" si="1"/>
        <v>0</v>
      </c>
      <c r="AG20" s="288"/>
      <c r="AH20" s="291">
        <f t="shared" ca="1" si="3"/>
        <v>5.859375E-2</v>
      </c>
      <c r="AI20" s="292"/>
      <c r="AK20" s="280"/>
      <c r="AL20" s="280"/>
      <c r="AM20" s="280"/>
      <c r="AN20" s="280"/>
      <c r="AO20" s="280"/>
      <c r="AP20" s="280"/>
      <c r="AQ20" s="295">
        <v>10</v>
      </c>
      <c r="AR20" s="295"/>
      <c r="AS20" s="295">
        <v>10</v>
      </c>
      <c r="AT20" s="295"/>
      <c r="AW20" s="149">
        <v>360</v>
      </c>
    </row>
    <row r="21" spans="1:49" x14ac:dyDescent="0.15">
      <c r="A21" s="9"/>
      <c r="B21" s="115" t="s">
        <v>104</v>
      </c>
      <c r="C21" s="280" t="s">
        <v>332</v>
      </c>
      <c r="D21" s="280"/>
      <c r="E21" s="280"/>
      <c r="F21" s="280"/>
      <c r="G21" s="280" t="s">
        <v>296</v>
      </c>
      <c r="H21" s="280"/>
      <c r="I21" s="280"/>
      <c r="J21" s="280"/>
      <c r="K21" s="280"/>
      <c r="L21" s="280"/>
      <c r="M21" s="281" t="s">
        <v>297</v>
      </c>
      <c r="N21" s="281"/>
      <c r="O21" s="280" t="s">
        <v>333</v>
      </c>
      <c r="P21" s="280"/>
      <c r="Q21" s="280"/>
      <c r="R21" s="280"/>
      <c r="S21" s="280"/>
      <c r="T21" s="280"/>
      <c r="U21" s="280"/>
      <c r="V21" s="280"/>
      <c r="W21" s="280"/>
      <c r="X21" s="280"/>
      <c r="Y21" s="13"/>
      <c r="Z21" s="284">
        <v>20</v>
      </c>
      <c r="AA21" s="285"/>
      <c r="AB21" s="284">
        <f t="shared" ca="1" si="0"/>
        <v>0</v>
      </c>
      <c r="AC21" s="288"/>
      <c r="AD21" s="291">
        <f t="shared" ca="1" si="2"/>
        <v>5.859375E-2</v>
      </c>
      <c r="AE21" s="292"/>
      <c r="AF21" s="284">
        <f t="shared" ca="1" si="1"/>
        <v>0</v>
      </c>
      <c r="AG21" s="288"/>
      <c r="AH21" s="291">
        <f t="shared" ca="1" si="3"/>
        <v>5.859375E-2</v>
      </c>
      <c r="AI21" s="292"/>
      <c r="AK21" s="280"/>
      <c r="AL21" s="280"/>
      <c r="AM21" s="280"/>
      <c r="AN21" s="280"/>
      <c r="AO21" s="280"/>
      <c r="AP21" s="280"/>
      <c r="AQ21" s="295">
        <v>10</v>
      </c>
      <c r="AR21" s="295"/>
      <c r="AS21" s="295">
        <v>10</v>
      </c>
      <c r="AT21" s="295"/>
      <c r="AW21" s="149">
        <v>360</v>
      </c>
    </row>
    <row r="22" spans="1:49" x14ac:dyDescent="0.15">
      <c r="A22" s="9"/>
      <c r="B22" s="115" t="s">
        <v>105</v>
      </c>
      <c r="C22" s="280"/>
      <c r="D22" s="280"/>
      <c r="E22" s="280"/>
      <c r="F22" s="280"/>
      <c r="G22" s="280"/>
      <c r="H22" s="280"/>
      <c r="I22" s="280"/>
      <c r="J22" s="280"/>
      <c r="K22" s="280"/>
      <c r="L22" s="280"/>
      <c r="M22" s="281"/>
      <c r="N22" s="281"/>
      <c r="O22" s="280"/>
      <c r="P22" s="280"/>
      <c r="Q22" s="280"/>
      <c r="R22" s="280"/>
      <c r="S22" s="280"/>
      <c r="T22" s="280"/>
      <c r="U22" s="280"/>
      <c r="V22" s="280"/>
      <c r="W22" s="280"/>
      <c r="X22" s="280"/>
      <c r="Y22" s="13"/>
      <c r="Z22" s="284"/>
      <c r="AA22" s="285"/>
      <c r="AB22" s="284">
        <f t="shared" ca="1" si="0"/>
        <v>0</v>
      </c>
      <c r="AC22" s="288"/>
      <c r="AD22" s="291">
        <f t="shared" ca="1" si="2"/>
        <v>5.859375E-2</v>
      </c>
      <c r="AE22" s="292"/>
      <c r="AF22" s="284">
        <f t="shared" ca="1" si="1"/>
        <v>0</v>
      </c>
      <c r="AG22" s="288"/>
      <c r="AH22" s="291">
        <f t="shared" ca="1" si="3"/>
        <v>5.859375E-2</v>
      </c>
      <c r="AI22" s="292"/>
      <c r="AK22" s="280"/>
      <c r="AL22" s="280"/>
      <c r="AM22" s="280"/>
      <c r="AN22" s="280"/>
      <c r="AO22" s="280"/>
      <c r="AP22" s="280"/>
      <c r="AQ22" s="295">
        <v>10</v>
      </c>
      <c r="AR22" s="295"/>
      <c r="AS22" s="295">
        <v>10</v>
      </c>
      <c r="AT22" s="295"/>
      <c r="AW22" s="149">
        <v>360</v>
      </c>
    </row>
    <row r="23" spans="1:49" x14ac:dyDescent="0.15">
      <c r="A23" s="9"/>
      <c r="B23" s="115" t="s">
        <v>106</v>
      </c>
      <c r="C23" s="280"/>
      <c r="D23" s="280"/>
      <c r="E23" s="280"/>
      <c r="F23" s="280"/>
      <c r="G23" s="280"/>
      <c r="H23" s="280"/>
      <c r="I23" s="280"/>
      <c r="J23" s="280"/>
      <c r="K23" s="280"/>
      <c r="L23" s="280"/>
      <c r="M23" s="281"/>
      <c r="N23" s="281"/>
      <c r="O23" s="280"/>
      <c r="P23" s="280"/>
      <c r="Q23" s="280"/>
      <c r="R23" s="280"/>
      <c r="S23" s="280"/>
      <c r="T23" s="280"/>
      <c r="U23" s="280"/>
      <c r="V23" s="280"/>
      <c r="W23" s="280"/>
      <c r="X23" s="280"/>
      <c r="Y23" s="13"/>
      <c r="Z23" s="284"/>
      <c r="AA23" s="285"/>
      <c r="AB23" s="284">
        <f t="shared" ca="1" si="0"/>
        <v>0</v>
      </c>
      <c r="AC23" s="288"/>
      <c r="AD23" s="291">
        <f t="shared" ca="1" si="2"/>
        <v>5.859375E-2</v>
      </c>
      <c r="AE23" s="292"/>
      <c r="AF23" s="284">
        <f t="shared" ca="1" si="1"/>
        <v>0</v>
      </c>
      <c r="AG23" s="288"/>
      <c r="AH23" s="291">
        <f t="shared" ca="1" si="3"/>
        <v>5.859375E-2</v>
      </c>
      <c r="AI23" s="292"/>
      <c r="AK23" s="280"/>
      <c r="AL23" s="280"/>
      <c r="AM23" s="280"/>
      <c r="AN23" s="280"/>
      <c r="AO23" s="280"/>
      <c r="AP23" s="280"/>
      <c r="AQ23" s="295">
        <v>10</v>
      </c>
      <c r="AR23" s="295"/>
      <c r="AS23" s="295">
        <v>10</v>
      </c>
      <c r="AT23" s="295"/>
      <c r="AW23" s="149">
        <v>360</v>
      </c>
    </row>
    <row r="24" spans="1:49" x14ac:dyDescent="0.15">
      <c r="A24" s="9"/>
      <c r="B24" s="115" t="s">
        <v>107</v>
      </c>
      <c r="C24" s="280"/>
      <c r="D24" s="280"/>
      <c r="E24" s="280"/>
      <c r="F24" s="280"/>
      <c r="G24" s="280"/>
      <c r="H24" s="280"/>
      <c r="I24" s="280"/>
      <c r="J24" s="280"/>
      <c r="K24" s="280"/>
      <c r="L24" s="280"/>
      <c r="M24" s="281"/>
      <c r="N24" s="281"/>
      <c r="O24" s="280"/>
      <c r="P24" s="280"/>
      <c r="Q24" s="280"/>
      <c r="R24" s="280"/>
      <c r="S24" s="280"/>
      <c r="T24" s="280"/>
      <c r="U24" s="280"/>
      <c r="V24" s="280"/>
      <c r="W24" s="280"/>
      <c r="X24" s="280"/>
      <c r="Y24" s="13"/>
      <c r="Z24" s="284"/>
      <c r="AA24" s="285"/>
      <c r="AB24" s="284">
        <f t="shared" ca="1" si="0"/>
        <v>0</v>
      </c>
      <c r="AC24" s="288"/>
      <c r="AD24" s="291">
        <f t="shared" ca="1" si="2"/>
        <v>5.859375E-2</v>
      </c>
      <c r="AE24" s="292"/>
      <c r="AF24" s="284">
        <f t="shared" ca="1" si="1"/>
        <v>0</v>
      </c>
      <c r="AG24" s="288"/>
      <c r="AH24" s="291">
        <f t="shared" ca="1" si="3"/>
        <v>5.859375E-2</v>
      </c>
      <c r="AI24" s="292"/>
      <c r="AK24" s="280"/>
      <c r="AL24" s="280"/>
      <c r="AM24" s="280"/>
      <c r="AN24" s="280"/>
      <c r="AO24" s="280"/>
      <c r="AP24" s="280"/>
      <c r="AQ24" s="295">
        <v>10</v>
      </c>
      <c r="AR24" s="295"/>
      <c r="AS24" s="295">
        <v>10</v>
      </c>
      <c r="AT24" s="295"/>
      <c r="AW24" s="149">
        <v>360</v>
      </c>
    </row>
    <row r="25" spans="1:49" x14ac:dyDescent="0.15">
      <c r="A25" s="9"/>
      <c r="B25" s="115" t="s">
        <v>108</v>
      </c>
      <c r="C25" s="280"/>
      <c r="D25" s="280"/>
      <c r="E25" s="280"/>
      <c r="F25" s="280"/>
      <c r="G25" s="280"/>
      <c r="H25" s="280"/>
      <c r="I25" s="280"/>
      <c r="J25" s="280"/>
      <c r="K25" s="280"/>
      <c r="L25" s="280"/>
      <c r="M25" s="281"/>
      <c r="N25" s="281"/>
      <c r="O25" s="280"/>
      <c r="P25" s="280"/>
      <c r="Q25" s="280"/>
      <c r="R25" s="280"/>
      <c r="S25" s="280"/>
      <c r="T25" s="280"/>
      <c r="U25" s="280"/>
      <c r="V25" s="280"/>
      <c r="W25" s="280"/>
      <c r="X25" s="280"/>
      <c r="Y25" s="13"/>
      <c r="Z25" s="284"/>
      <c r="AA25" s="285"/>
      <c r="AB25" s="284">
        <f t="shared" ca="1" si="0"/>
        <v>0</v>
      </c>
      <c r="AC25" s="288"/>
      <c r="AD25" s="291">
        <f t="shared" ca="1" si="2"/>
        <v>5.859375E-2</v>
      </c>
      <c r="AE25" s="292"/>
      <c r="AF25" s="284">
        <f t="shared" ca="1" si="1"/>
        <v>0</v>
      </c>
      <c r="AG25" s="288"/>
      <c r="AH25" s="291">
        <f t="shared" ca="1" si="3"/>
        <v>5.859375E-2</v>
      </c>
      <c r="AI25" s="292"/>
      <c r="AK25" s="280"/>
      <c r="AL25" s="280"/>
      <c r="AM25" s="280"/>
      <c r="AN25" s="280"/>
      <c r="AO25" s="280"/>
      <c r="AP25" s="280"/>
      <c r="AQ25" s="295">
        <v>2604468</v>
      </c>
      <c r="AR25" s="295"/>
      <c r="AS25" s="295">
        <v>13500000</v>
      </c>
      <c r="AT25" s="295"/>
      <c r="AW25" s="149">
        <v>2997000000</v>
      </c>
    </row>
    <row r="26" spans="1:49" x14ac:dyDescent="0.15">
      <c r="A26" s="9"/>
      <c r="B26" s="115" t="s">
        <v>109</v>
      </c>
      <c r="C26" s="280"/>
      <c r="D26" s="280"/>
      <c r="E26" s="280"/>
      <c r="F26" s="280"/>
      <c r="G26" s="280"/>
      <c r="H26" s="280"/>
      <c r="I26" s="280"/>
      <c r="J26" s="280"/>
      <c r="K26" s="280"/>
      <c r="L26" s="280"/>
      <c r="M26" s="281"/>
      <c r="N26" s="281"/>
      <c r="O26" s="280"/>
      <c r="P26" s="280"/>
      <c r="Q26" s="280"/>
      <c r="R26" s="280"/>
      <c r="S26" s="280"/>
      <c r="T26" s="280"/>
      <c r="U26" s="280"/>
      <c r="V26" s="280"/>
      <c r="W26" s="280"/>
      <c r="X26" s="280"/>
      <c r="Y26" s="13"/>
      <c r="Z26" s="284"/>
      <c r="AA26" s="285"/>
      <c r="AB26" s="284">
        <f t="shared" ca="1" si="0"/>
        <v>0</v>
      </c>
      <c r="AC26" s="288"/>
      <c r="AD26" s="291">
        <f t="shared" ca="1" si="2"/>
        <v>5.859375E-2</v>
      </c>
      <c r="AE26" s="292"/>
      <c r="AF26" s="284">
        <f t="shared" ca="1" si="1"/>
        <v>0</v>
      </c>
      <c r="AG26" s="288"/>
      <c r="AH26" s="291">
        <f t="shared" ca="1" si="3"/>
        <v>5.859375E-2</v>
      </c>
      <c r="AI26" s="292"/>
      <c r="AK26" s="280"/>
      <c r="AL26" s="280"/>
      <c r="AM26" s="280"/>
      <c r="AN26" s="280"/>
      <c r="AO26" s="280"/>
      <c r="AP26" s="280"/>
      <c r="AQ26" s="295">
        <v>143831</v>
      </c>
      <c r="AR26" s="295"/>
      <c r="AS26" s="295">
        <v>750000</v>
      </c>
      <c r="AT26" s="295"/>
      <c r="AW26" s="149">
        <v>663000000</v>
      </c>
    </row>
    <row r="27" spans="1:49" x14ac:dyDescent="0.15">
      <c r="A27" s="9"/>
      <c r="B27" s="115" t="s">
        <v>110</v>
      </c>
      <c r="C27" s="280"/>
      <c r="D27" s="280"/>
      <c r="E27" s="280"/>
      <c r="F27" s="280"/>
      <c r="G27" s="280"/>
      <c r="H27" s="280"/>
      <c r="I27" s="280"/>
      <c r="J27" s="280"/>
      <c r="K27" s="280"/>
      <c r="L27" s="280"/>
      <c r="M27" s="281"/>
      <c r="N27" s="281"/>
      <c r="O27" s="280"/>
      <c r="P27" s="280"/>
      <c r="Q27" s="280"/>
      <c r="R27" s="280"/>
      <c r="S27" s="280"/>
      <c r="T27" s="280"/>
      <c r="U27" s="280"/>
      <c r="V27" s="280"/>
      <c r="W27" s="280"/>
      <c r="X27" s="280"/>
      <c r="Y27" s="13"/>
      <c r="Z27" s="284"/>
      <c r="AA27" s="285"/>
      <c r="AB27" s="284">
        <f t="shared" ca="1" si="0"/>
        <v>0</v>
      </c>
      <c r="AC27" s="288"/>
      <c r="AD27" s="291">
        <f t="shared" ca="1" si="2"/>
        <v>5.859375E-2</v>
      </c>
      <c r="AE27" s="292"/>
      <c r="AF27" s="284">
        <f t="shared" ca="1" si="1"/>
        <v>0</v>
      </c>
      <c r="AG27" s="288"/>
      <c r="AH27" s="291">
        <f t="shared" ca="1" si="3"/>
        <v>5.859375E-2</v>
      </c>
      <c r="AI27" s="292"/>
      <c r="AK27" s="280"/>
      <c r="AL27" s="280"/>
      <c r="AM27" s="280"/>
      <c r="AN27" s="280"/>
      <c r="AO27" s="280"/>
      <c r="AP27" s="280"/>
      <c r="AQ27" s="295">
        <v>187193</v>
      </c>
      <c r="AR27" s="295"/>
      <c r="AS27" s="295">
        <v>975000</v>
      </c>
      <c r="AT27" s="295"/>
      <c r="AW27" s="149">
        <v>282750000</v>
      </c>
    </row>
    <row r="28" spans="1:49" x14ac:dyDescent="0.15">
      <c r="A28" s="9"/>
      <c r="B28" s="115" t="s">
        <v>111</v>
      </c>
      <c r="C28" s="280"/>
      <c r="D28" s="280"/>
      <c r="E28" s="280"/>
      <c r="F28" s="280"/>
      <c r="G28" s="280"/>
      <c r="H28" s="280"/>
      <c r="I28" s="280"/>
      <c r="J28" s="280"/>
      <c r="K28" s="280"/>
      <c r="L28" s="280"/>
      <c r="M28" s="281"/>
      <c r="N28" s="281"/>
      <c r="O28" s="280"/>
      <c r="P28" s="280"/>
      <c r="Q28" s="280"/>
      <c r="R28" s="280"/>
      <c r="S28" s="280"/>
      <c r="T28" s="280"/>
      <c r="U28" s="280"/>
      <c r="V28" s="280"/>
      <c r="W28" s="280"/>
      <c r="X28" s="280"/>
      <c r="Y28" s="13"/>
      <c r="Z28" s="284"/>
      <c r="AA28" s="285"/>
      <c r="AB28" s="284">
        <f t="shared" ca="1" si="0"/>
        <v>0</v>
      </c>
      <c r="AC28" s="288"/>
      <c r="AD28" s="291">
        <f t="shared" ca="1" si="2"/>
        <v>5.859375E-2</v>
      </c>
      <c r="AE28" s="292"/>
      <c r="AF28" s="284">
        <f t="shared" ca="1" si="1"/>
        <v>0</v>
      </c>
      <c r="AG28" s="288"/>
      <c r="AH28" s="291">
        <f t="shared" ca="1" si="3"/>
        <v>5.859375E-2</v>
      </c>
      <c r="AI28" s="292"/>
      <c r="AK28" s="280"/>
      <c r="AL28" s="280"/>
      <c r="AM28" s="280"/>
      <c r="AN28" s="280"/>
      <c r="AO28" s="280"/>
      <c r="AP28" s="280"/>
      <c r="AQ28" s="295"/>
      <c r="AR28" s="295"/>
      <c r="AS28" s="295"/>
      <c r="AT28" s="295"/>
      <c r="AW28" s="149">
        <v>471500</v>
      </c>
    </row>
    <row r="29" spans="1:49" x14ac:dyDescent="0.15">
      <c r="A29" s="9"/>
      <c r="B29" s="115" t="s">
        <v>112</v>
      </c>
      <c r="C29" s="280"/>
      <c r="D29" s="280"/>
      <c r="E29" s="280"/>
      <c r="F29" s="280"/>
      <c r="G29" s="280"/>
      <c r="H29" s="280"/>
      <c r="I29" s="280"/>
      <c r="J29" s="280"/>
      <c r="K29" s="280"/>
      <c r="L29" s="280"/>
      <c r="M29" s="281"/>
      <c r="N29" s="281"/>
      <c r="O29" s="280"/>
      <c r="P29" s="280"/>
      <c r="Q29" s="280"/>
      <c r="R29" s="280"/>
      <c r="S29" s="280"/>
      <c r="T29" s="280"/>
      <c r="U29" s="280"/>
      <c r="V29" s="280"/>
      <c r="W29" s="280"/>
      <c r="X29" s="280"/>
      <c r="Y29" s="13"/>
      <c r="Z29" s="284"/>
      <c r="AA29" s="285"/>
      <c r="AB29" s="284">
        <f t="shared" ca="1" si="0"/>
        <v>0</v>
      </c>
      <c r="AC29" s="288"/>
      <c r="AD29" s="291">
        <f t="shared" ca="1" si="2"/>
        <v>5.859375E-2</v>
      </c>
      <c r="AE29" s="292"/>
      <c r="AF29" s="284">
        <f t="shared" ca="1" si="1"/>
        <v>0</v>
      </c>
      <c r="AG29" s="288"/>
      <c r="AH29" s="291">
        <f t="shared" ca="1" si="3"/>
        <v>5.859375E-2</v>
      </c>
      <c r="AI29" s="292"/>
      <c r="AK29" s="280"/>
      <c r="AL29" s="280"/>
      <c r="AM29" s="280"/>
      <c r="AN29" s="280"/>
      <c r="AO29" s="280"/>
      <c r="AP29" s="280"/>
      <c r="AQ29" s="295">
        <f>AQ26</f>
        <v>143831</v>
      </c>
      <c r="AR29" s="295"/>
      <c r="AS29" s="295">
        <f>AS26</f>
        <v>750000</v>
      </c>
      <c r="AT29" s="295"/>
    </row>
    <row r="30" spans="1:49" x14ac:dyDescent="0.15">
      <c r="A30" s="9"/>
      <c r="B30" s="115" t="s">
        <v>113</v>
      </c>
      <c r="C30" s="280"/>
      <c r="D30" s="280"/>
      <c r="E30" s="280"/>
      <c r="F30" s="280"/>
      <c r="G30" s="280"/>
      <c r="H30" s="280"/>
      <c r="I30" s="280"/>
      <c r="J30" s="280"/>
      <c r="K30" s="280"/>
      <c r="L30" s="280"/>
      <c r="M30" s="281"/>
      <c r="N30" s="281"/>
      <c r="O30" s="280"/>
      <c r="P30" s="280"/>
      <c r="Q30" s="280"/>
      <c r="R30" s="280"/>
      <c r="S30" s="280"/>
      <c r="T30" s="280"/>
      <c r="U30" s="280"/>
      <c r="V30" s="280"/>
      <c r="W30" s="280"/>
      <c r="X30" s="280"/>
      <c r="Y30" s="13"/>
      <c r="Z30" s="284"/>
      <c r="AA30" s="285"/>
      <c r="AB30" s="284">
        <f t="shared" ca="1" si="0"/>
        <v>0</v>
      </c>
      <c r="AC30" s="288"/>
      <c r="AD30" s="291">
        <f t="shared" ca="1" si="2"/>
        <v>5.859375E-2</v>
      </c>
      <c r="AE30" s="292"/>
      <c r="AF30" s="284">
        <f t="shared" ca="1" si="1"/>
        <v>0</v>
      </c>
      <c r="AG30" s="288"/>
      <c r="AH30" s="291">
        <f t="shared" ca="1" si="3"/>
        <v>5.859375E-2</v>
      </c>
      <c r="AI30" s="292"/>
      <c r="AK30" s="280"/>
      <c r="AL30" s="280"/>
      <c r="AM30" s="280"/>
      <c r="AN30" s="280"/>
      <c r="AO30" s="280"/>
      <c r="AP30" s="280"/>
      <c r="AQ30" s="295">
        <f>AQ29*設定!P35</f>
        <v>719155</v>
      </c>
      <c r="AR30" s="295"/>
      <c r="AS30" s="295">
        <f>AS29*設定!P35</f>
        <v>3750000</v>
      </c>
      <c r="AT30" s="295"/>
    </row>
    <row r="31" spans="1:49" x14ac:dyDescent="0.15">
      <c r="A31" s="9"/>
      <c r="B31" s="115" t="s">
        <v>114</v>
      </c>
      <c r="C31" s="280"/>
      <c r="D31" s="280"/>
      <c r="E31" s="280"/>
      <c r="F31" s="280"/>
      <c r="G31" s="280"/>
      <c r="H31" s="280"/>
      <c r="I31" s="280"/>
      <c r="J31" s="280"/>
      <c r="K31" s="280"/>
      <c r="L31" s="280"/>
      <c r="M31" s="281"/>
      <c r="N31" s="281"/>
      <c r="O31" s="280"/>
      <c r="P31" s="280"/>
      <c r="Q31" s="280"/>
      <c r="R31" s="280"/>
      <c r="S31" s="280"/>
      <c r="T31" s="280"/>
      <c r="U31" s="280"/>
      <c r="V31" s="280"/>
      <c r="W31" s="280"/>
      <c r="X31" s="280"/>
      <c r="Y31" s="13"/>
      <c r="Z31" s="284"/>
      <c r="AA31" s="285"/>
      <c r="AB31" s="284">
        <f t="shared" ca="1" si="0"/>
        <v>0</v>
      </c>
      <c r="AC31" s="288"/>
      <c r="AD31" s="291">
        <f t="shared" ca="1" si="2"/>
        <v>5.859375E-2</v>
      </c>
      <c r="AE31" s="292"/>
      <c r="AF31" s="284">
        <f t="shared" ca="1" si="1"/>
        <v>0</v>
      </c>
      <c r="AG31" s="288"/>
      <c r="AH31" s="291">
        <f t="shared" ca="1" si="3"/>
        <v>5.859375E-2</v>
      </c>
      <c r="AI31" s="292"/>
      <c r="AK31" s="280"/>
      <c r="AL31" s="280"/>
      <c r="AM31" s="280"/>
      <c r="AN31" s="280"/>
      <c r="AO31" s="280"/>
      <c r="AP31" s="280"/>
      <c r="AQ31" s="295">
        <f>AQ30</f>
        <v>719155</v>
      </c>
      <c r="AR31" s="295"/>
      <c r="AS31" s="295">
        <f>AS30</f>
        <v>3750000</v>
      </c>
      <c r="AT31" s="295"/>
    </row>
    <row r="32" spans="1:49" x14ac:dyDescent="0.15">
      <c r="A32" s="9"/>
      <c r="B32" s="115" t="s">
        <v>115</v>
      </c>
      <c r="C32" s="280"/>
      <c r="D32" s="280"/>
      <c r="E32" s="280"/>
      <c r="F32" s="280"/>
      <c r="G32" s="280"/>
      <c r="H32" s="280"/>
      <c r="I32" s="280"/>
      <c r="J32" s="280"/>
      <c r="K32" s="280"/>
      <c r="L32" s="280"/>
      <c r="M32" s="281"/>
      <c r="N32" s="281"/>
      <c r="O32" s="280"/>
      <c r="P32" s="280"/>
      <c r="Q32" s="280"/>
      <c r="R32" s="280"/>
      <c r="S32" s="280"/>
      <c r="T32" s="280"/>
      <c r="U32" s="280"/>
      <c r="V32" s="280"/>
      <c r="W32" s="280"/>
      <c r="X32" s="280"/>
      <c r="Y32" s="13"/>
      <c r="Z32" s="284"/>
      <c r="AA32" s="285"/>
      <c r="AB32" s="284">
        <f t="shared" ca="1" si="0"/>
        <v>0</v>
      </c>
      <c r="AC32" s="288"/>
      <c r="AD32" s="291">
        <f t="shared" ca="1" si="2"/>
        <v>5.859375E-2</v>
      </c>
      <c r="AE32" s="292"/>
      <c r="AF32" s="284">
        <f t="shared" ca="1" si="1"/>
        <v>0</v>
      </c>
      <c r="AG32" s="288"/>
      <c r="AH32" s="291">
        <f t="shared" ca="1" si="3"/>
        <v>5.859375E-2</v>
      </c>
      <c r="AI32" s="292"/>
      <c r="AK32" s="280"/>
      <c r="AL32" s="280"/>
      <c r="AM32" s="280"/>
      <c r="AN32" s="280"/>
      <c r="AO32" s="280"/>
      <c r="AP32" s="280"/>
      <c r="AQ32" s="295">
        <v>0</v>
      </c>
      <c r="AR32" s="295"/>
      <c r="AS32" s="295">
        <v>0</v>
      </c>
      <c r="AT32" s="295"/>
    </row>
    <row r="33" spans="1:46" x14ac:dyDescent="0.15">
      <c r="A33" s="9"/>
      <c r="B33" s="115" t="s">
        <v>116</v>
      </c>
      <c r="C33" s="280"/>
      <c r="D33" s="280"/>
      <c r="E33" s="280"/>
      <c r="F33" s="280"/>
      <c r="G33" s="280"/>
      <c r="H33" s="280"/>
      <c r="I33" s="280"/>
      <c r="J33" s="280"/>
      <c r="K33" s="280"/>
      <c r="L33" s="280"/>
      <c r="M33" s="281"/>
      <c r="N33" s="281"/>
      <c r="O33" s="280"/>
      <c r="P33" s="280"/>
      <c r="Q33" s="280"/>
      <c r="R33" s="280"/>
      <c r="S33" s="280"/>
      <c r="T33" s="280"/>
      <c r="U33" s="280"/>
      <c r="V33" s="280"/>
      <c r="W33" s="280"/>
      <c r="X33" s="280"/>
      <c r="Y33" s="13"/>
      <c r="Z33" s="284"/>
      <c r="AA33" s="285"/>
      <c r="AB33" s="284">
        <f t="shared" ca="1" si="0"/>
        <v>0</v>
      </c>
      <c r="AC33" s="288"/>
      <c r="AD33" s="291">
        <f t="shared" ca="1" si="2"/>
        <v>5.859375E-2</v>
      </c>
      <c r="AE33" s="292"/>
      <c r="AF33" s="284">
        <f t="shared" ca="1" si="1"/>
        <v>0</v>
      </c>
      <c r="AG33" s="288"/>
      <c r="AH33" s="291">
        <f t="shared" ca="1" si="3"/>
        <v>5.859375E-2</v>
      </c>
      <c r="AI33" s="292"/>
      <c r="AK33" s="280"/>
      <c r="AL33" s="280"/>
      <c r="AM33" s="280"/>
      <c r="AN33" s="280"/>
      <c r="AO33" s="280"/>
      <c r="AP33" s="280"/>
      <c r="AQ33" s="295"/>
      <c r="AR33" s="295"/>
      <c r="AS33" s="295"/>
      <c r="AT33" s="295"/>
    </row>
    <row r="34" spans="1:46" x14ac:dyDescent="0.15">
      <c r="A34" s="9"/>
      <c r="B34" s="115" t="s">
        <v>117</v>
      </c>
      <c r="C34" s="280"/>
      <c r="D34" s="280"/>
      <c r="E34" s="280"/>
      <c r="F34" s="280"/>
      <c r="G34" s="280"/>
      <c r="H34" s="280"/>
      <c r="I34" s="280"/>
      <c r="J34" s="280"/>
      <c r="K34" s="280"/>
      <c r="L34" s="280"/>
      <c r="M34" s="281"/>
      <c r="N34" s="281"/>
      <c r="O34" s="280"/>
      <c r="P34" s="280"/>
      <c r="Q34" s="280"/>
      <c r="R34" s="280"/>
      <c r="S34" s="280"/>
      <c r="T34" s="280"/>
      <c r="U34" s="280"/>
      <c r="V34" s="280"/>
      <c r="W34" s="280"/>
      <c r="X34" s="280"/>
      <c r="Y34" s="13"/>
      <c r="Z34" s="284"/>
      <c r="AA34" s="285"/>
      <c r="AB34" s="284">
        <f t="shared" ca="1" si="0"/>
        <v>0</v>
      </c>
      <c r="AC34" s="288"/>
      <c r="AD34" s="291">
        <f t="shared" ca="1" si="2"/>
        <v>5.859375E-2</v>
      </c>
      <c r="AE34" s="292"/>
      <c r="AF34" s="284">
        <f t="shared" ca="1" si="1"/>
        <v>0</v>
      </c>
      <c r="AG34" s="288"/>
      <c r="AH34" s="291">
        <f t="shared" ca="1" si="3"/>
        <v>5.859375E-2</v>
      </c>
      <c r="AI34" s="292"/>
      <c r="AK34" s="280"/>
      <c r="AL34" s="280"/>
      <c r="AM34" s="280"/>
      <c r="AN34" s="280"/>
      <c r="AO34" s="280"/>
      <c r="AP34" s="280"/>
      <c r="AQ34" s="295">
        <v>100</v>
      </c>
      <c r="AR34" s="295"/>
      <c r="AS34" s="295">
        <v>150</v>
      </c>
      <c r="AT34" s="295"/>
    </row>
    <row r="35" spans="1:46" x14ac:dyDescent="0.15">
      <c r="A35" s="9"/>
      <c r="B35" s="115" t="s">
        <v>118</v>
      </c>
      <c r="C35" s="280"/>
      <c r="D35" s="280"/>
      <c r="E35" s="280"/>
      <c r="F35" s="280"/>
      <c r="G35" s="280"/>
      <c r="H35" s="280"/>
      <c r="I35" s="280"/>
      <c r="J35" s="280"/>
      <c r="K35" s="280"/>
      <c r="L35" s="280"/>
      <c r="M35" s="281"/>
      <c r="N35" s="281"/>
      <c r="O35" s="280"/>
      <c r="P35" s="280"/>
      <c r="Q35" s="280"/>
      <c r="R35" s="280"/>
      <c r="S35" s="280"/>
      <c r="T35" s="280"/>
      <c r="U35" s="280"/>
      <c r="V35" s="280"/>
      <c r="W35" s="280"/>
      <c r="X35" s="280"/>
      <c r="Y35" s="13"/>
      <c r="Z35" s="284"/>
      <c r="AA35" s="285"/>
      <c r="AB35" s="284">
        <f t="shared" ca="1" si="0"/>
        <v>0</v>
      </c>
      <c r="AC35" s="288"/>
      <c r="AD35" s="291">
        <f t="shared" ca="1" si="2"/>
        <v>5.859375E-2</v>
      </c>
      <c r="AE35" s="292"/>
      <c r="AF35" s="284">
        <f t="shared" ca="1" si="1"/>
        <v>0</v>
      </c>
      <c r="AG35" s="288"/>
      <c r="AH35" s="291">
        <f t="shared" ca="1" si="3"/>
        <v>5.859375E-2</v>
      </c>
      <c r="AI35" s="292"/>
      <c r="AK35" s="280"/>
      <c r="AL35" s="280"/>
      <c r="AM35" s="280"/>
      <c r="AN35" s="280"/>
      <c r="AO35" s="280"/>
      <c r="AP35" s="280"/>
      <c r="AQ35" s="295">
        <f>AQ34*3</f>
        <v>300</v>
      </c>
      <c r="AR35" s="295"/>
      <c r="AS35" s="295">
        <f>AS34*3</f>
        <v>450</v>
      </c>
      <c r="AT35" s="295"/>
    </row>
    <row r="36" spans="1:46" x14ac:dyDescent="0.15">
      <c r="A36" s="9"/>
      <c r="B36" s="115" t="s">
        <v>119</v>
      </c>
      <c r="C36" s="280"/>
      <c r="D36" s="280"/>
      <c r="E36" s="280"/>
      <c r="F36" s="280"/>
      <c r="G36" s="280"/>
      <c r="H36" s="280"/>
      <c r="I36" s="280"/>
      <c r="J36" s="280"/>
      <c r="K36" s="280"/>
      <c r="L36" s="280"/>
      <c r="M36" s="281"/>
      <c r="N36" s="281"/>
      <c r="O36" s="280"/>
      <c r="P36" s="280"/>
      <c r="Q36" s="280"/>
      <c r="R36" s="280"/>
      <c r="S36" s="280"/>
      <c r="T36" s="280"/>
      <c r="U36" s="280"/>
      <c r="V36" s="280"/>
      <c r="W36" s="280"/>
      <c r="X36" s="280"/>
      <c r="Y36" s="13"/>
      <c r="Z36" s="284"/>
      <c r="AA36" s="285"/>
      <c r="AB36" s="284">
        <f t="shared" ca="1" si="0"/>
        <v>0</v>
      </c>
      <c r="AC36" s="288"/>
      <c r="AD36" s="291">
        <f t="shared" ca="1" si="2"/>
        <v>5.859375E-2</v>
      </c>
      <c r="AE36" s="292"/>
      <c r="AF36" s="284">
        <f t="shared" ca="1" si="1"/>
        <v>0</v>
      </c>
      <c r="AG36" s="288"/>
      <c r="AH36" s="291">
        <f t="shared" ca="1" si="3"/>
        <v>5.859375E-2</v>
      </c>
      <c r="AI36" s="292"/>
      <c r="AK36" s="280"/>
      <c r="AL36" s="280"/>
      <c r="AM36" s="280"/>
      <c r="AN36" s="280"/>
      <c r="AO36" s="280"/>
      <c r="AP36" s="280"/>
      <c r="AQ36" s="295"/>
      <c r="AR36" s="295"/>
      <c r="AS36" s="295"/>
      <c r="AT36" s="295"/>
    </row>
    <row r="37" spans="1:46" x14ac:dyDescent="0.15">
      <c r="A37" s="9"/>
      <c r="B37" s="115" t="s">
        <v>120</v>
      </c>
      <c r="C37" s="280"/>
      <c r="D37" s="280"/>
      <c r="E37" s="280"/>
      <c r="F37" s="280"/>
      <c r="G37" s="280"/>
      <c r="H37" s="280"/>
      <c r="I37" s="280"/>
      <c r="J37" s="280"/>
      <c r="K37" s="280"/>
      <c r="L37" s="280"/>
      <c r="M37" s="281"/>
      <c r="N37" s="281"/>
      <c r="O37" s="280"/>
      <c r="P37" s="280"/>
      <c r="Q37" s="280"/>
      <c r="R37" s="280"/>
      <c r="S37" s="280"/>
      <c r="T37" s="280"/>
      <c r="U37" s="280"/>
      <c r="V37" s="280"/>
      <c r="W37" s="280"/>
      <c r="X37" s="280"/>
      <c r="Y37" s="13"/>
      <c r="Z37" s="284"/>
      <c r="AA37" s="285"/>
      <c r="AB37" s="284">
        <f t="shared" ca="1" si="0"/>
        <v>0</v>
      </c>
      <c r="AC37" s="288"/>
      <c r="AD37" s="291">
        <f t="shared" ca="1" si="2"/>
        <v>5.859375E-2</v>
      </c>
      <c r="AE37" s="292"/>
      <c r="AF37" s="284">
        <f t="shared" ca="1" si="1"/>
        <v>0</v>
      </c>
      <c r="AG37" s="288"/>
      <c r="AH37" s="291">
        <f t="shared" ca="1" si="3"/>
        <v>5.859375E-2</v>
      </c>
      <c r="AI37" s="292"/>
      <c r="AK37" s="280"/>
      <c r="AL37" s="280"/>
      <c r="AM37" s="280"/>
      <c r="AN37" s="280"/>
      <c r="AO37" s="280"/>
      <c r="AP37" s="280"/>
      <c r="AQ37" s="295"/>
      <c r="AR37" s="295"/>
      <c r="AS37" s="295"/>
      <c r="AT37" s="295"/>
    </row>
    <row r="38" spans="1:46" x14ac:dyDescent="0.15">
      <c r="A38" s="9"/>
      <c r="B38" s="115" t="s">
        <v>154</v>
      </c>
      <c r="C38" s="280"/>
      <c r="D38" s="280"/>
      <c r="E38" s="280"/>
      <c r="F38" s="280"/>
      <c r="G38" s="280"/>
      <c r="H38" s="280"/>
      <c r="I38" s="280"/>
      <c r="J38" s="280"/>
      <c r="K38" s="280"/>
      <c r="L38" s="280"/>
      <c r="M38" s="281"/>
      <c r="N38" s="281"/>
      <c r="O38" s="280"/>
      <c r="P38" s="280"/>
      <c r="Q38" s="280"/>
      <c r="R38" s="280"/>
      <c r="S38" s="280"/>
      <c r="T38" s="280"/>
      <c r="U38" s="280"/>
      <c r="V38" s="280"/>
      <c r="W38" s="280"/>
      <c r="X38" s="280"/>
      <c r="Y38" s="13"/>
      <c r="Z38" s="284"/>
      <c r="AA38" s="285"/>
      <c r="AB38" s="284">
        <f t="shared" ca="1" si="0"/>
        <v>0</v>
      </c>
      <c r="AC38" s="288"/>
      <c r="AD38" s="291">
        <f t="shared" ca="1" si="2"/>
        <v>5.859375E-2</v>
      </c>
      <c r="AE38" s="292"/>
      <c r="AF38" s="284">
        <f t="shared" ca="1" si="1"/>
        <v>0</v>
      </c>
      <c r="AG38" s="288"/>
      <c r="AH38" s="291">
        <f t="shared" ca="1" si="3"/>
        <v>5.859375E-2</v>
      </c>
      <c r="AI38" s="292"/>
      <c r="AK38" s="280"/>
      <c r="AL38" s="280"/>
      <c r="AM38" s="280"/>
      <c r="AN38" s="280"/>
      <c r="AO38" s="280"/>
      <c r="AP38" s="280"/>
      <c r="AQ38" s="295"/>
      <c r="AR38" s="295"/>
      <c r="AS38" s="295"/>
      <c r="AT38" s="295"/>
    </row>
    <row r="39" spans="1:46" x14ac:dyDescent="0.15">
      <c r="A39" s="9"/>
      <c r="B39" s="115" t="s">
        <v>155</v>
      </c>
      <c r="C39" s="280"/>
      <c r="D39" s="280"/>
      <c r="E39" s="280"/>
      <c r="F39" s="280"/>
      <c r="G39" s="280"/>
      <c r="H39" s="280"/>
      <c r="I39" s="280"/>
      <c r="J39" s="280"/>
      <c r="K39" s="280"/>
      <c r="L39" s="280"/>
      <c r="M39" s="281"/>
      <c r="N39" s="281"/>
      <c r="O39" s="280"/>
      <c r="P39" s="280"/>
      <c r="Q39" s="280"/>
      <c r="R39" s="280"/>
      <c r="S39" s="280"/>
      <c r="T39" s="280"/>
      <c r="U39" s="280"/>
      <c r="V39" s="280"/>
      <c r="W39" s="280"/>
      <c r="X39" s="280"/>
      <c r="Y39" s="13"/>
      <c r="Z39" s="284"/>
      <c r="AA39" s="285"/>
      <c r="AB39" s="284">
        <f t="shared" ca="1" si="0"/>
        <v>0</v>
      </c>
      <c r="AC39" s="288"/>
      <c r="AD39" s="291">
        <f t="shared" ca="1" si="2"/>
        <v>5.859375E-2</v>
      </c>
      <c r="AE39" s="292"/>
      <c r="AF39" s="284">
        <f t="shared" ca="1" si="1"/>
        <v>0</v>
      </c>
      <c r="AG39" s="288"/>
      <c r="AH39" s="291">
        <f t="shared" ca="1" si="3"/>
        <v>5.859375E-2</v>
      </c>
      <c r="AI39" s="292"/>
      <c r="AK39" s="280"/>
      <c r="AL39" s="280"/>
      <c r="AM39" s="280"/>
      <c r="AN39" s="280"/>
      <c r="AO39" s="280"/>
      <c r="AP39" s="280"/>
      <c r="AQ39" s="295"/>
      <c r="AR39" s="295"/>
      <c r="AS39" s="295"/>
      <c r="AT39" s="295"/>
    </row>
    <row r="40" spans="1:46" x14ac:dyDescent="0.15">
      <c r="A40" s="9"/>
      <c r="B40" s="115" t="s">
        <v>156</v>
      </c>
      <c r="C40" s="280"/>
      <c r="D40" s="280"/>
      <c r="E40" s="280"/>
      <c r="F40" s="280"/>
      <c r="G40" s="280"/>
      <c r="H40" s="280"/>
      <c r="I40" s="280"/>
      <c r="J40" s="280"/>
      <c r="K40" s="280"/>
      <c r="L40" s="280"/>
      <c r="M40" s="281"/>
      <c r="N40" s="281"/>
      <c r="O40" s="280"/>
      <c r="P40" s="280"/>
      <c r="Q40" s="280"/>
      <c r="R40" s="280"/>
      <c r="S40" s="280"/>
      <c r="T40" s="280"/>
      <c r="U40" s="280"/>
      <c r="V40" s="280"/>
      <c r="W40" s="280"/>
      <c r="X40" s="280"/>
      <c r="Y40" s="13"/>
      <c r="Z40" s="284"/>
      <c r="AA40" s="285"/>
      <c r="AB40" s="284">
        <f t="shared" ca="1" si="0"/>
        <v>0</v>
      </c>
      <c r="AC40" s="288"/>
      <c r="AD40" s="291">
        <f t="shared" ca="1" si="2"/>
        <v>5.859375E-2</v>
      </c>
      <c r="AE40" s="292"/>
      <c r="AF40" s="284">
        <f t="shared" ca="1" si="1"/>
        <v>0</v>
      </c>
      <c r="AG40" s="288"/>
      <c r="AH40" s="291">
        <f t="shared" ca="1" si="3"/>
        <v>5.859375E-2</v>
      </c>
      <c r="AI40" s="292"/>
      <c r="AK40" s="280"/>
      <c r="AL40" s="280"/>
      <c r="AM40" s="280"/>
      <c r="AN40" s="280"/>
      <c r="AO40" s="280"/>
      <c r="AP40" s="280"/>
      <c r="AQ40" s="295"/>
      <c r="AR40" s="295"/>
      <c r="AS40" s="295"/>
      <c r="AT40" s="295"/>
    </row>
    <row r="41" spans="1:46" x14ac:dyDescent="0.15">
      <c r="A41" s="9"/>
      <c r="B41" s="115" t="s">
        <v>157</v>
      </c>
      <c r="C41" s="280"/>
      <c r="D41" s="280"/>
      <c r="E41" s="280"/>
      <c r="F41" s="280"/>
      <c r="G41" s="280"/>
      <c r="H41" s="280"/>
      <c r="I41" s="280"/>
      <c r="J41" s="280"/>
      <c r="K41" s="280"/>
      <c r="L41" s="280"/>
      <c r="M41" s="281"/>
      <c r="N41" s="281"/>
      <c r="O41" s="280"/>
      <c r="P41" s="280"/>
      <c r="Q41" s="280"/>
      <c r="R41" s="280"/>
      <c r="S41" s="280"/>
      <c r="T41" s="280"/>
      <c r="U41" s="280"/>
      <c r="V41" s="280"/>
      <c r="W41" s="280"/>
      <c r="X41" s="280"/>
      <c r="Y41" s="13"/>
      <c r="Z41" s="284"/>
      <c r="AA41" s="285"/>
      <c r="AB41" s="284">
        <f t="shared" ca="1" si="0"/>
        <v>0</v>
      </c>
      <c r="AC41" s="288"/>
      <c r="AD41" s="291">
        <f t="shared" ca="1" si="2"/>
        <v>5.859375E-2</v>
      </c>
      <c r="AE41" s="292"/>
      <c r="AF41" s="284">
        <f t="shared" ca="1" si="1"/>
        <v>0</v>
      </c>
      <c r="AG41" s="288"/>
      <c r="AH41" s="291">
        <f t="shared" ca="1" si="3"/>
        <v>5.859375E-2</v>
      </c>
      <c r="AI41" s="292"/>
      <c r="AK41" s="280"/>
      <c r="AL41" s="280"/>
      <c r="AM41" s="280"/>
      <c r="AN41" s="280"/>
      <c r="AO41" s="280"/>
      <c r="AP41" s="280"/>
      <c r="AQ41" s="295"/>
      <c r="AR41" s="295"/>
      <c r="AS41" s="295"/>
      <c r="AT41" s="295"/>
    </row>
    <row r="42" spans="1:46" x14ac:dyDescent="0.15">
      <c r="A42" s="9"/>
      <c r="B42" s="115" t="s">
        <v>158</v>
      </c>
      <c r="C42" s="280"/>
      <c r="D42" s="280"/>
      <c r="E42" s="280"/>
      <c r="F42" s="280"/>
      <c r="G42" s="280"/>
      <c r="H42" s="280"/>
      <c r="I42" s="280"/>
      <c r="J42" s="280"/>
      <c r="K42" s="280"/>
      <c r="L42" s="280"/>
      <c r="M42" s="281"/>
      <c r="N42" s="281"/>
      <c r="O42" s="280"/>
      <c r="P42" s="280"/>
      <c r="Q42" s="280"/>
      <c r="R42" s="280"/>
      <c r="S42" s="280"/>
      <c r="T42" s="280"/>
      <c r="U42" s="280"/>
      <c r="V42" s="280"/>
      <c r="W42" s="280"/>
      <c r="X42" s="280"/>
      <c r="Y42" s="13"/>
      <c r="Z42" s="284"/>
      <c r="AA42" s="285"/>
      <c r="AB42" s="284">
        <f t="shared" ca="1" si="0"/>
        <v>0</v>
      </c>
      <c r="AC42" s="288"/>
      <c r="AD42" s="291">
        <f t="shared" ca="1" si="2"/>
        <v>5.859375E-2</v>
      </c>
      <c r="AE42" s="292"/>
      <c r="AF42" s="284">
        <f t="shared" ca="1" si="1"/>
        <v>0</v>
      </c>
      <c r="AG42" s="288"/>
      <c r="AH42" s="291">
        <f t="shared" ca="1" si="3"/>
        <v>5.859375E-2</v>
      </c>
      <c r="AI42" s="292"/>
      <c r="AK42" s="280"/>
      <c r="AL42" s="280"/>
      <c r="AM42" s="280"/>
      <c r="AN42" s="280"/>
      <c r="AO42" s="280"/>
      <c r="AP42" s="280"/>
      <c r="AQ42" s="295"/>
      <c r="AR42" s="295"/>
      <c r="AS42" s="295"/>
      <c r="AT42" s="295"/>
    </row>
    <row r="43" spans="1:46" x14ac:dyDescent="0.15">
      <c r="A43" s="14"/>
      <c r="B43" s="15"/>
      <c r="C43" s="15"/>
      <c r="D43" s="15"/>
      <c r="E43" s="15"/>
      <c r="F43" s="15"/>
      <c r="G43" s="15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15"/>
      <c r="Y43" s="16"/>
      <c r="Z43" s="96">
        <v>51</v>
      </c>
      <c r="AA43" s="96"/>
    </row>
  </sheetData>
  <mergeCells count="449">
    <mergeCell ref="AS34:AT34"/>
    <mergeCell ref="AS35:AT35"/>
    <mergeCell ref="AS36:AT36"/>
    <mergeCell ref="AS37:AT37"/>
    <mergeCell ref="AS38:AT38"/>
    <mergeCell ref="AS39:AT39"/>
    <mergeCell ref="AS40:AT40"/>
    <mergeCell ref="AS41:AT41"/>
    <mergeCell ref="AS42:AT42"/>
    <mergeCell ref="AS25:AT25"/>
    <mergeCell ref="AS26:AT26"/>
    <mergeCell ref="AS27:AT27"/>
    <mergeCell ref="AS28:AT28"/>
    <mergeCell ref="AS29:AT29"/>
    <mergeCell ref="AS30:AT30"/>
    <mergeCell ref="AS31:AT31"/>
    <mergeCell ref="AS32:AT32"/>
    <mergeCell ref="AS33:AT33"/>
    <mergeCell ref="AK41:AP41"/>
    <mergeCell ref="AK42:AP42"/>
    <mergeCell ref="AQ6:AR6"/>
    <mergeCell ref="AK6:AP7"/>
    <mergeCell ref="AS6:AT6"/>
    <mergeCell ref="AS7:AT7"/>
    <mergeCell ref="AS8:AT8"/>
    <mergeCell ref="AS9:AT9"/>
    <mergeCell ref="AS10:AT10"/>
    <mergeCell ref="AS11:AT11"/>
    <mergeCell ref="AS12:AT12"/>
    <mergeCell ref="AS13:AT13"/>
    <mergeCell ref="AS14:AT14"/>
    <mergeCell ref="AS15:AT15"/>
    <mergeCell ref="AS16:AT16"/>
    <mergeCell ref="AS17:AT17"/>
    <mergeCell ref="AS18:AT18"/>
    <mergeCell ref="AS19:AT19"/>
    <mergeCell ref="AS20:AT20"/>
    <mergeCell ref="AS21:AT21"/>
    <mergeCell ref="AS22:AT22"/>
    <mergeCell ref="AS23:AT23"/>
    <mergeCell ref="AS24:AT24"/>
    <mergeCell ref="AQ41:AR41"/>
    <mergeCell ref="AQ42:AR42"/>
    <mergeCell ref="AK8:AP8"/>
    <mergeCell ref="AK9:AP9"/>
    <mergeCell ref="AK10:AP10"/>
    <mergeCell ref="AK11:AP11"/>
    <mergeCell ref="AK12:AP12"/>
    <mergeCell ref="AK13:AP13"/>
    <mergeCell ref="AK14:AP14"/>
    <mergeCell ref="AK15:AP15"/>
    <mergeCell ref="AK16:AP16"/>
    <mergeCell ref="AK17:AP17"/>
    <mergeCell ref="AK18:AP18"/>
    <mergeCell ref="AK19:AP19"/>
    <mergeCell ref="AK20:AP20"/>
    <mergeCell ref="AK21:AP21"/>
    <mergeCell ref="AK22:AP22"/>
    <mergeCell ref="AQ38:AR38"/>
    <mergeCell ref="AQ39:AR39"/>
    <mergeCell ref="AQ40:AR40"/>
    <mergeCell ref="AK38:AP38"/>
    <mergeCell ref="AK39:AP39"/>
    <mergeCell ref="AK40:AP40"/>
    <mergeCell ref="AQ35:AR35"/>
    <mergeCell ref="AQ36:AR36"/>
    <mergeCell ref="AQ37:AR37"/>
    <mergeCell ref="AK35:AP35"/>
    <mergeCell ref="AK36:AP36"/>
    <mergeCell ref="AK37:AP37"/>
    <mergeCell ref="AQ32:AR32"/>
    <mergeCell ref="AQ33:AR33"/>
    <mergeCell ref="AQ34:AR34"/>
    <mergeCell ref="AK32:AP32"/>
    <mergeCell ref="AK33:AP33"/>
    <mergeCell ref="AK34:AP34"/>
    <mergeCell ref="AQ29:AR29"/>
    <mergeCell ref="AQ30:AR30"/>
    <mergeCell ref="AQ31:AR31"/>
    <mergeCell ref="AK29:AP29"/>
    <mergeCell ref="AK30:AP30"/>
    <mergeCell ref="AK31:AP31"/>
    <mergeCell ref="AQ26:AR26"/>
    <mergeCell ref="AQ27:AR27"/>
    <mergeCell ref="AQ28:AR28"/>
    <mergeCell ref="AK26:AP26"/>
    <mergeCell ref="AK27:AP27"/>
    <mergeCell ref="AK28:AP28"/>
    <mergeCell ref="AQ23:AR23"/>
    <mergeCell ref="AQ24:AR24"/>
    <mergeCell ref="AQ25:AR25"/>
    <mergeCell ref="AK23:AP23"/>
    <mergeCell ref="AK24:AP24"/>
    <mergeCell ref="AK25:AP25"/>
    <mergeCell ref="AQ20:AR20"/>
    <mergeCell ref="AQ21:AR21"/>
    <mergeCell ref="AQ22:AR22"/>
    <mergeCell ref="AQ17:AR17"/>
    <mergeCell ref="AQ18:AR18"/>
    <mergeCell ref="AQ19:AR19"/>
    <mergeCell ref="AQ14:AR14"/>
    <mergeCell ref="AQ15:AR15"/>
    <mergeCell ref="AQ16:AR16"/>
    <mergeCell ref="AQ11:AR11"/>
    <mergeCell ref="AQ12:AR12"/>
    <mergeCell ref="AQ13:AR13"/>
    <mergeCell ref="AF41:AG41"/>
    <mergeCell ref="AH41:AI41"/>
    <mergeCell ref="AF42:AG42"/>
    <mergeCell ref="AH42:AI42"/>
    <mergeCell ref="AQ7:AR7"/>
    <mergeCell ref="AQ8:AR8"/>
    <mergeCell ref="AQ9:AR9"/>
    <mergeCell ref="AQ10:AR10"/>
    <mergeCell ref="AF36:AG36"/>
    <mergeCell ref="AH36:AI36"/>
    <mergeCell ref="AF37:AG37"/>
    <mergeCell ref="AH37:AI37"/>
    <mergeCell ref="AF38:AG38"/>
    <mergeCell ref="AH38:AI38"/>
    <mergeCell ref="AF39:AG39"/>
    <mergeCell ref="AH39:AI39"/>
    <mergeCell ref="AF40:AG40"/>
    <mergeCell ref="AH40:AI40"/>
    <mergeCell ref="AF31:AG31"/>
    <mergeCell ref="AH31:AI31"/>
    <mergeCell ref="AF32:AG32"/>
    <mergeCell ref="AH32:AI32"/>
    <mergeCell ref="AF33:AG33"/>
    <mergeCell ref="AH33:AI33"/>
    <mergeCell ref="AF35:AG35"/>
    <mergeCell ref="AH35:AI35"/>
    <mergeCell ref="AF26:AG26"/>
    <mergeCell ref="AH26:AI26"/>
    <mergeCell ref="AF27:AG27"/>
    <mergeCell ref="AH27:AI27"/>
    <mergeCell ref="AF28:AG28"/>
    <mergeCell ref="AH28:AI28"/>
    <mergeCell ref="AF29:AG29"/>
    <mergeCell ref="AH29:AI29"/>
    <mergeCell ref="AF30:AG30"/>
    <mergeCell ref="AH30:AI30"/>
    <mergeCell ref="AF22:AG22"/>
    <mergeCell ref="AH22:AI22"/>
    <mergeCell ref="AF23:AG23"/>
    <mergeCell ref="AH23:AI23"/>
    <mergeCell ref="AF24:AG24"/>
    <mergeCell ref="AH24:AI24"/>
    <mergeCell ref="AF25:AG25"/>
    <mergeCell ref="AH25:AI25"/>
    <mergeCell ref="AF34:AG34"/>
    <mergeCell ref="AH34:AI34"/>
    <mergeCell ref="AF17:AG17"/>
    <mergeCell ref="AH17:AI17"/>
    <mergeCell ref="AF18:AG18"/>
    <mergeCell ref="AH18:AI18"/>
    <mergeCell ref="AF19:AG19"/>
    <mergeCell ref="AH19:AI19"/>
    <mergeCell ref="AF20:AG20"/>
    <mergeCell ref="AH20:AI20"/>
    <mergeCell ref="AF21:AG21"/>
    <mergeCell ref="AH21:AI21"/>
    <mergeCell ref="AD42:AE42"/>
    <mergeCell ref="AB6:AE6"/>
    <mergeCell ref="Z6:AA7"/>
    <mergeCell ref="AF6:AI6"/>
    <mergeCell ref="AF7:AG7"/>
    <mergeCell ref="AH7:AI7"/>
    <mergeCell ref="AF8:AG8"/>
    <mergeCell ref="AH8:AI8"/>
    <mergeCell ref="AF9:AG9"/>
    <mergeCell ref="AH9:AI9"/>
    <mergeCell ref="AF10:AG10"/>
    <mergeCell ref="AH10:AI10"/>
    <mergeCell ref="AF11:AG11"/>
    <mergeCell ref="AH11:AI11"/>
    <mergeCell ref="AF12:AG12"/>
    <mergeCell ref="AH12:AI12"/>
    <mergeCell ref="AF13:AG13"/>
    <mergeCell ref="AH13:AI13"/>
    <mergeCell ref="AF14:AG14"/>
    <mergeCell ref="AH14:AI14"/>
    <mergeCell ref="AF15:AG15"/>
    <mergeCell ref="AH15:AI15"/>
    <mergeCell ref="AF16:AG16"/>
    <mergeCell ref="AH16:AI16"/>
    <mergeCell ref="AD37:AE37"/>
    <mergeCell ref="AB38:AC38"/>
    <mergeCell ref="AD38:AE38"/>
    <mergeCell ref="AB39:AC39"/>
    <mergeCell ref="AD39:AE39"/>
    <mergeCell ref="AB40:AC40"/>
    <mergeCell ref="AD40:AE40"/>
    <mergeCell ref="AB41:AC41"/>
    <mergeCell ref="AD41:AE41"/>
    <mergeCell ref="AD32:AE32"/>
    <mergeCell ref="AB33:AC33"/>
    <mergeCell ref="AD33:AE33"/>
    <mergeCell ref="AB34:AC34"/>
    <mergeCell ref="AD34:AE34"/>
    <mergeCell ref="AB35:AC35"/>
    <mergeCell ref="AD35:AE35"/>
    <mergeCell ref="AB36:AC36"/>
    <mergeCell ref="AD36:AE36"/>
    <mergeCell ref="AD27:AE27"/>
    <mergeCell ref="AB28:AC28"/>
    <mergeCell ref="AD28:AE28"/>
    <mergeCell ref="AB29:AC29"/>
    <mergeCell ref="AD29:AE29"/>
    <mergeCell ref="AB30:AC30"/>
    <mergeCell ref="AD30:AE30"/>
    <mergeCell ref="AB31:AC31"/>
    <mergeCell ref="AD31:AE31"/>
    <mergeCell ref="AD22:AE22"/>
    <mergeCell ref="AB23:AC23"/>
    <mergeCell ref="AD23:AE23"/>
    <mergeCell ref="AB24:AC24"/>
    <mergeCell ref="AD24:AE24"/>
    <mergeCell ref="AB25:AC25"/>
    <mergeCell ref="AD25:AE25"/>
    <mergeCell ref="AB26:AC26"/>
    <mergeCell ref="AD26:AE26"/>
    <mergeCell ref="AD17:AE17"/>
    <mergeCell ref="AB18:AC18"/>
    <mergeCell ref="AD18:AE18"/>
    <mergeCell ref="AB19:AC19"/>
    <mergeCell ref="AD19:AE19"/>
    <mergeCell ref="AB20:AC20"/>
    <mergeCell ref="AD20:AE20"/>
    <mergeCell ref="AB21:AC21"/>
    <mergeCell ref="AD21:AE21"/>
    <mergeCell ref="AD12:AE12"/>
    <mergeCell ref="AB13:AC13"/>
    <mergeCell ref="AD13:AE13"/>
    <mergeCell ref="AB14:AC14"/>
    <mergeCell ref="AD14:AE14"/>
    <mergeCell ref="AB15:AC15"/>
    <mergeCell ref="AD15:AE15"/>
    <mergeCell ref="AB16:AC16"/>
    <mergeCell ref="AD16:AE16"/>
    <mergeCell ref="AD7:AE7"/>
    <mergeCell ref="AB8:AC8"/>
    <mergeCell ref="AD8:AE8"/>
    <mergeCell ref="AB9:AC9"/>
    <mergeCell ref="AD9:AE9"/>
    <mergeCell ref="AB10:AC10"/>
    <mergeCell ref="AD10:AE10"/>
    <mergeCell ref="AB11:AC11"/>
    <mergeCell ref="AD11:AE11"/>
    <mergeCell ref="Z35:AA35"/>
    <mergeCell ref="Z36:AA36"/>
    <mergeCell ref="Z37:AA37"/>
    <mergeCell ref="Z38:AA38"/>
    <mergeCell ref="Z39:AA39"/>
    <mergeCell ref="Z40:AA40"/>
    <mergeCell ref="Z41:AA41"/>
    <mergeCell ref="Z42:AA42"/>
    <mergeCell ref="AB7:AC7"/>
    <mergeCell ref="AB12:AC12"/>
    <mergeCell ref="AB17:AC17"/>
    <mergeCell ref="AB22:AC22"/>
    <mergeCell ref="AB27:AC27"/>
    <mergeCell ref="AB32:AC32"/>
    <mergeCell ref="AB37:AC37"/>
    <mergeCell ref="AB42:AC42"/>
    <mergeCell ref="Z26:AA26"/>
    <mergeCell ref="Z27:AA27"/>
    <mergeCell ref="Z28:AA28"/>
    <mergeCell ref="Z29:AA29"/>
    <mergeCell ref="Z30:AA30"/>
    <mergeCell ref="Z31:AA31"/>
    <mergeCell ref="Z32:AA32"/>
    <mergeCell ref="Z33:AA33"/>
    <mergeCell ref="Z34:AA34"/>
    <mergeCell ref="Z17:AA17"/>
    <mergeCell ref="Z18:AA18"/>
    <mergeCell ref="Z19:AA19"/>
    <mergeCell ref="Z20:AA20"/>
    <mergeCell ref="Z21:AA21"/>
    <mergeCell ref="Z22:AA22"/>
    <mergeCell ref="Z23:AA23"/>
    <mergeCell ref="Z24:AA24"/>
    <mergeCell ref="Z25:AA25"/>
    <mergeCell ref="Z8:AA8"/>
    <mergeCell ref="Z9:AA9"/>
    <mergeCell ref="Z10:AA10"/>
    <mergeCell ref="Z11:AA11"/>
    <mergeCell ref="Z12:AA12"/>
    <mergeCell ref="Z13:AA13"/>
    <mergeCell ref="Z14:AA14"/>
    <mergeCell ref="Z15:AA15"/>
    <mergeCell ref="Z16:AA16"/>
    <mergeCell ref="C42:F42"/>
    <mergeCell ref="G42:L42"/>
    <mergeCell ref="M42:N42"/>
    <mergeCell ref="O42:X42"/>
    <mergeCell ref="M7:N7"/>
    <mergeCell ref="C40:F40"/>
    <mergeCell ref="G40:L40"/>
    <mergeCell ref="M40:N40"/>
    <mergeCell ref="O40:X40"/>
    <mergeCell ref="C41:F41"/>
    <mergeCell ref="G41:L41"/>
    <mergeCell ref="M41:N41"/>
    <mergeCell ref="O41:X41"/>
    <mergeCell ref="C38:F38"/>
    <mergeCell ref="G38:L38"/>
    <mergeCell ref="M38:N38"/>
    <mergeCell ref="O38:X38"/>
    <mergeCell ref="C39:F39"/>
    <mergeCell ref="G39:L39"/>
    <mergeCell ref="M39:N39"/>
    <mergeCell ref="O39:X39"/>
    <mergeCell ref="C36:F36"/>
    <mergeCell ref="G36:L36"/>
    <mergeCell ref="M36:N36"/>
    <mergeCell ref="O36:X36"/>
    <mergeCell ref="C37:F37"/>
    <mergeCell ref="G37:L37"/>
    <mergeCell ref="M37:N37"/>
    <mergeCell ref="O37:X37"/>
    <mergeCell ref="C34:F34"/>
    <mergeCell ref="G34:L34"/>
    <mergeCell ref="M34:N34"/>
    <mergeCell ref="O34:X34"/>
    <mergeCell ref="C35:F35"/>
    <mergeCell ref="G35:L35"/>
    <mergeCell ref="M35:N35"/>
    <mergeCell ref="O35:X35"/>
    <mergeCell ref="C32:F32"/>
    <mergeCell ref="G32:L32"/>
    <mergeCell ref="M32:N32"/>
    <mergeCell ref="O32:X32"/>
    <mergeCell ref="C33:F33"/>
    <mergeCell ref="G33:L33"/>
    <mergeCell ref="M33:N33"/>
    <mergeCell ref="O33:X33"/>
    <mergeCell ref="C30:F30"/>
    <mergeCell ref="G30:L30"/>
    <mergeCell ref="M30:N30"/>
    <mergeCell ref="O30:X30"/>
    <mergeCell ref="C31:F31"/>
    <mergeCell ref="G31:L31"/>
    <mergeCell ref="M31:N31"/>
    <mergeCell ref="O31:X31"/>
    <mergeCell ref="C28:F28"/>
    <mergeCell ref="G28:L28"/>
    <mergeCell ref="M28:N28"/>
    <mergeCell ref="O28:X28"/>
    <mergeCell ref="C29:F29"/>
    <mergeCell ref="G29:L29"/>
    <mergeCell ref="M29:N29"/>
    <mergeCell ref="O29:X29"/>
    <mergeCell ref="C26:F26"/>
    <mergeCell ref="G26:L26"/>
    <mergeCell ref="M26:N26"/>
    <mergeCell ref="O26:X26"/>
    <mergeCell ref="C27:F27"/>
    <mergeCell ref="G27:L27"/>
    <mergeCell ref="M27:N27"/>
    <mergeCell ref="O27:X27"/>
    <mergeCell ref="C24:F24"/>
    <mergeCell ref="G24:L24"/>
    <mergeCell ref="M24:N24"/>
    <mergeCell ref="O24:X24"/>
    <mergeCell ref="C25:F25"/>
    <mergeCell ref="G25:L25"/>
    <mergeCell ref="M25:N25"/>
    <mergeCell ref="O25:X25"/>
    <mergeCell ref="C22:F22"/>
    <mergeCell ref="G22:L22"/>
    <mergeCell ref="M22:N22"/>
    <mergeCell ref="O22:X22"/>
    <mergeCell ref="C23:F23"/>
    <mergeCell ref="G23:L23"/>
    <mergeCell ref="M23:N23"/>
    <mergeCell ref="O23:X23"/>
    <mergeCell ref="C20:F20"/>
    <mergeCell ref="G20:L20"/>
    <mergeCell ref="M20:N20"/>
    <mergeCell ref="O20:X20"/>
    <mergeCell ref="C21:F21"/>
    <mergeCell ref="G21:L21"/>
    <mergeCell ref="M21:N21"/>
    <mergeCell ref="O21:X21"/>
    <mergeCell ref="C18:F18"/>
    <mergeCell ref="G18:L18"/>
    <mergeCell ref="M18:N18"/>
    <mergeCell ref="O18:X18"/>
    <mergeCell ref="C19:F19"/>
    <mergeCell ref="G19:L19"/>
    <mergeCell ref="M19:N19"/>
    <mergeCell ref="O19:X19"/>
    <mergeCell ref="C16:F16"/>
    <mergeCell ref="G16:L16"/>
    <mergeCell ref="M16:N16"/>
    <mergeCell ref="O16:X16"/>
    <mergeCell ref="C17:F17"/>
    <mergeCell ref="G17:L17"/>
    <mergeCell ref="M17:N17"/>
    <mergeCell ref="O17:X17"/>
    <mergeCell ref="C14:F14"/>
    <mergeCell ref="G14:L14"/>
    <mergeCell ref="M14:N14"/>
    <mergeCell ref="O14:X14"/>
    <mergeCell ref="C15:F15"/>
    <mergeCell ref="G15:L15"/>
    <mergeCell ref="M15:N15"/>
    <mergeCell ref="O15:X15"/>
    <mergeCell ref="C12:F12"/>
    <mergeCell ref="G12:L12"/>
    <mergeCell ref="M12:N12"/>
    <mergeCell ref="O12:X12"/>
    <mergeCell ref="C13:F13"/>
    <mergeCell ref="G13:L13"/>
    <mergeCell ref="M13:N13"/>
    <mergeCell ref="O13:X13"/>
    <mergeCell ref="C10:F10"/>
    <mergeCell ref="G10:L10"/>
    <mergeCell ref="M10:N10"/>
    <mergeCell ref="O10:X10"/>
    <mergeCell ref="C11:F11"/>
    <mergeCell ref="G11:L11"/>
    <mergeCell ref="M11:N11"/>
    <mergeCell ref="O11:X11"/>
    <mergeCell ref="O7:X7"/>
    <mergeCell ref="O8:X8"/>
    <mergeCell ref="C9:F9"/>
    <mergeCell ref="G9:L9"/>
    <mergeCell ref="M9:N9"/>
    <mergeCell ref="O9:X9"/>
    <mergeCell ref="C7:F7"/>
    <mergeCell ref="G7:L7"/>
    <mergeCell ref="M8:N8"/>
    <mergeCell ref="G8:L8"/>
    <mergeCell ref="C8:F8"/>
    <mergeCell ref="R1:T1"/>
    <mergeCell ref="U1:V1"/>
    <mergeCell ref="W1:Y1"/>
    <mergeCell ref="G2:I2"/>
    <mergeCell ref="P2:Q3"/>
    <mergeCell ref="R2:T3"/>
    <mergeCell ref="W2:Y3"/>
    <mergeCell ref="A3:B3"/>
    <mergeCell ref="G3:I3"/>
    <mergeCell ref="A1:F2"/>
    <mergeCell ref="G1:I1"/>
    <mergeCell ref="P1:Q1"/>
    <mergeCell ref="U2:V3"/>
  </mergeCells>
  <phoneticPr fontId="1"/>
  <dataValidations count="1">
    <dataValidation type="list" allowBlank="1" showInputMessage="1" showErrorMessage="1" sqref="M8:M42" xr:uid="{00000000-0002-0000-0300-000000000000}">
      <formula1>"マスタ,トランザクション,ワーク"</formula1>
    </dataValidation>
  </dataValidations>
  <printOptions horizontalCentered="1"/>
  <pageMargins left="0.23622047244094491" right="0.23622047244094491" top="0.39370078740157483" bottom="0.39370078740157483" header="0" footer="0"/>
  <pageSetup paperSize="9" fitToHeight="0" orientation="landscape" r:id="rId1"/>
  <headerFooter alignWithMargins="0">
    <oddFooter>&amp;L&amp;F&amp;R&amp;P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9" r:id="rId4" name="Button 3">
              <controlPr defaultSize="0" print="0" autoFill="0" autoPict="0" macro="[0]!Sheet3.CreateTableList">
                <anchor moveWithCells="1" sizeWithCells="1">
                  <from>
                    <xdr:col>20</xdr:col>
                    <xdr:colOff>276225</xdr:colOff>
                    <xdr:row>4</xdr:row>
                    <xdr:rowOff>85725</xdr:rowOff>
                  </from>
                  <to>
                    <xdr:col>23</xdr:col>
                    <xdr:colOff>304800</xdr:colOff>
                    <xdr:row>6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850FC8-DCD2-405E-850D-E68678C52F93}">
  <sheetPr codeName="Sheet39"/>
  <dimension ref="A1:AE43"/>
  <sheetViews>
    <sheetView showGridLines="0" view="pageBreakPreview" zoomScaleNormal="85" zoomScaleSheetLayoutView="100" workbookViewId="0">
      <selection activeCell="C16" sqref="C16:F16"/>
    </sheetView>
  </sheetViews>
  <sheetFormatPr defaultColWidth="5.625" defaultRowHeight="13.5" x14ac:dyDescent="0.15"/>
  <cols>
    <col min="1" max="16" width="5.625" style="12" customWidth="1"/>
    <col min="17" max="25" width="5.625" style="12"/>
    <col min="26" max="26" width="12.75" style="96" bestFit="1" customWidth="1"/>
    <col min="27" max="27" width="12.75" style="12" bestFit="1" customWidth="1"/>
    <col min="28" max="28" width="18.375" style="12" bestFit="1" customWidth="1"/>
    <col min="29" max="238" width="5.625" style="12"/>
    <col min="239" max="254" width="5.625" style="12" customWidth="1"/>
    <col min="255" max="494" width="5.625" style="12"/>
    <col min="495" max="510" width="5.625" style="12" customWidth="1"/>
    <col min="511" max="750" width="5.625" style="12"/>
    <col min="751" max="766" width="5.625" style="12" customWidth="1"/>
    <col min="767" max="1006" width="5.625" style="12"/>
    <col min="1007" max="1022" width="5.625" style="12" customWidth="1"/>
    <col min="1023" max="1262" width="5.625" style="12"/>
    <col min="1263" max="1278" width="5.625" style="12" customWidth="1"/>
    <col min="1279" max="1518" width="5.625" style="12"/>
    <col min="1519" max="1534" width="5.625" style="12" customWidth="1"/>
    <col min="1535" max="1774" width="5.625" style="12"/>
    <col min="1775" max="1790" width="5.625" style="12" customWidth="1"/>
    <col min="1791" max="2030" width="5.625" style="12"/>
    <col min="2031" max="2046" width="5.625" style="12" customWidth="1"/>
    <col min="2047" max="2286" width="5.625" style="12"/>
    <col min="2287" max="2302" width="5.625" style="12" customWidth="1"/>
    <col min="2303" max="2542" width="5.625" style="12"/>
    <col min="2543" max="2558" width="5.625" style="12" customWidth="1"/>
    <col min="2559" max="2798" width="5.625" style="12"/>
    <col min="2799" max="2814" width="5.625" style="12" customWidth="1"/>
    <col min="2815" max="3054" width="5.625" style="12"/>
    <col min="3055" max="3070" width="5.625" style="12" customWidth="1"/>
    <col min="3071" max="3310" width="5.625" style="12"/>
    <col min="3311" max="3326" width="5.625" style="12" customWidth="1"/>
    <col min="3327" max="3566" width="5.625" style="12"/>
    <col min="3567" max="3582" width="5.625" style="12" customWidth="1"/>
    <col min="3583" max="3822" width="5.625" style="12"/>
    <col min="3823" max="3838" width="5.625" style="12" customWidth="1"/>
    <col min="3839" max="4078" width="5.625" style="12"/>
    <col min="4079" max="4094" width="5.625" style="12" customWidth="1"/>
    <col min="4095" max="4334" width="5.625" style="12"/>
    <col min="4335" max="4350" width="5.625" style="12" customWidth="1"/>
    <col min="4351" max="4590" width="5.625" style="12"/>
    <col min="4591" max="4606" width="5.625" style="12" customWidth="1"/>
    <col min="4607" max="4846" width="5.625" style="12"/>
    <col min="4847" max="4862" width="5.625" style="12" customWidth="1"/>
    <col min="4863" max="5102" width="5.625" style="12"/>
    <col min="5103" max="5118" width="5.625" style="12" customWidth="1"/>
    <col min="5119" max="5358" width="5.625" style="12"/>
    <col min="5359" max="5374" width="5.625" style="12" customWidth="1"/>
    <col min="5375" max="5614" width="5.625" style="12"/>
    <col min="5615" max="5630" width="5.625" style="12" customWidth="1"/>
    <col min="5631" max="5870" width="5.625" style="12"/>
    <col min="5871" max="5886" width="5.625" style="12" customWidth="1"/>
    <col min="5887" max="6126" width="5.625" style="12"/>
    <col min="6127" max="6142" width="5.625" style="12" customWidth="1"/>
    <col min="6143" max="6382" width="5.625" style="12"/>
    <col min="6383" max="6398" width="5.625" style="12" customWidth="1"/>
    <col min="6399" max="6638" width="5.625" style="12"/>
    <col min="6639" max="6654" width="5.625" style="12" customWidth="1"/>
    <col min="6655" max="6894" width="5.625" style="12"/>
    <col min="6895" max="6910" width="5.625" style="12" customWidth="1"/>
    <col min="6911" max="7150" width="5.625" style="12"/>
    <col min="7151" max="7166" width="5.625" style="12" customWidth="1"/>
    <col min="7167" max="7406" width="5.625" style="12"/>
    <col min="7407" max="7422" width="5.625" style="12" customWidth="1"/>
    <col min="7423" max="7662" width="5.625" style="12"/>
    <col min="7663" max="7678" width="5.625" style="12" customWidth="1"/>
    <col min="7679" max="7918" width="5.625" style="12"/>
    <col min="7919" max="7934" width="5.625" style="12" customWidth="1"/>
    <col min="7935" max="8174" width="5.625" style="12"/>
    <col min="8175" max="8190" width="5.625" style="12" customWidth="1"/>
    <col min="8191" max="8430" width="5.625" style="12"/>
    <col min="8431" max="8446" width="5.625" style="12" customWidth="1"/>
    <col min="8447" max="8686" width="5.625" style="12"/>
    <col min="8687" max="8702" width="5.625" style="12" customWidth="1"/>
    <col min="8703" max="8942" width="5.625" style="12"/>
    <col min="8943" max="8958" width="5.625" style="12" customWidth="1"/>
    <col min="8959" max="9198" width="5.625" style="12"/>
    <col min="9199" max="9214" width="5.625" style="12" customWidth="1"/>
    <col min="9215" max="9454" width="5.625" style="12"/>
    <col min="9455" max="9470" width="5.625" style="12" customWidth="1"/>
    <col min="9471" max="9710" width="5.625" style="12"/>
    <col min="9711" max="9726" width="5.625" style="12" customWidth="1"/>
    <col min="9727" max="9966" width="5.625" style="12"/>
    <col min="9967" max="9982" width="5.625" style="12" customWidth="1"/>
    <col min="9983" max="10222" width="5.625" style="12"/>
    <col min="10223" max="10238" width="5.625" style="12" customWidth="1"/>
    <col min="10239" max="10478" width="5.625" style="12"/>
    <col min="10479" max="10494" width="5.625" style="12" customWidth="1"/>
    <col min="10495" max="10734" width="5.625" style="12"/>
    <col min="10735" max="10750" width="5.625" style="12" customWidth="1"/>
    <col min="10751" max="10990" width="5.625" style="12"/>
    <col min="10991" max="11006" width="5.625" style="12" customWidth="1"/>
    <col min="11007" max="11246" width="5.625" style="12"/>
    <col min="11247" max="11262" width="5.625" style="12" customWidth="1"/>
    <col min="11263" max="11502" width="5.625" style="12"/>
    <col min="11503" max="11518" width="5.625" style="12" customWidth="1"/>
    <col min="11519" max="11758" width="5.625" style="12"/>
    <col min="11759" max="11774" width="5.625" style="12" customWidth="1"/>
    <col min="11775" max="12014" width="5.625" style="12"/>
    <col min="12015" max="12030" width="5.625" style="12" customWidth="1"/>
    <col min="12031" max="12270" width="5.625" style="12"/>
    <col min="12271" max="12286" width="5.625" style="12" customWidth="1"/>
    <col min="12287" max="12526" width="5.625" style="12"/>
    <col min="12527" max="12542" width="5.625" style="12" customWidth="1"/>
    <col min="12543" max="12782" width="5.625" style="12"/>
    <col min="12783" max="12798" width="5.625" style="12" customWidth="1"/>
    <col min="12799" max="13038" width="5.625" style="12"/>
    <col min="13039" max="13054" width="5.625" style="12" customWidth="1"/>
    <col min="13055" max="13294" width="5.625" style="12"/>
    <col min="13295" max="13310" width="5.625" style="12" customWidth="1"/>
    <col min="13311" max="13550" width="5.625" style="12"/>
    <col min="13551" max="13566" width="5.625" style="12" customWidth="1"/>
    <col min="13567" max="13806" width="5.625" style="12"/>
    <col min="13807" max="13822" width="5.625" style="12" customWidth="1"/>
    <col min="13823" max="14062" width="5.625" style="12"/>
    <col min="14063" max="14078" width="5.625" style="12" customWidth="1"/>
    <col min="14079" max="14318" width="5.625" style="12"/>
    <col min="14319" max="14334" width="5.625" style="12" customWidth="1"/>
    <col min="14335" max="14574" width="5.625" style="12"/>
    <col min="14575" max="14590" width="5.625" style="12" customWidth="1"/>
    <col min="14591" max="14830" width="5.625" style="12"/>
    <col min="14831" max="14846" width="5.625" style="12" customWidth="1"/>
    <col min="14847" max="15086" width="5.625" style="12"/>
    <col min="15087" max="15102" width="5.625" style="12" customWidth="1"/>
    <col min="15103" max="15342" width="5.625" style="12"/>
    <col min="15343" max="15358" width="5.625" style="12" customWidth="1"/>
    <col min="15359" max="15598" width="5.625" style="12"/>
    <col min="15599" max="15614" width="5.625" style="12" customWidth="1"/>
    <col min="15615" max="15854" width="5.625" style="12"/>
    <col min="15855" max="15870" width="5.625" style="12" customWidth="1"/>
    <col min="15871" max="16110" width="5.625" style="12"/>
    <col min="16111" max="16126" width="5.625" style="12" customWidth="1"/>
    <col min="16127" max="16384" width="5.625" style="12"/>
  </cols>
  <sheetData>
    <row r="1" spans="1:31" ht="13.5" customHeight="1" x14ac:dyDescent="0.15">
      <c r="A1" s="260" t="s">
        <v>81</v>
      </c>
      <c r="B1" s="261"/>
      <c r="C1" s="261"/>
      <c r="D1" s="261"/>
      <c r="E1" s="261"/>
      <c r="F1" s="262"/>
      <c r="G1" s="311" t="s">
        <v>5</v>
      </c>
      <c r="H1" s="312"/>
      <c r="I1" s="313"/>
      <c r="J1" s="21"/>
      <c r="K1" s="94"/>
      <c r="L1" s="94"/>
      <c r="M1" s="94"/>
      <c r="N1" s="94"/>
      <c r="O1" s="94"/>
      <c r="P1" s="311" t="s">
        <v>8</v>
      </c>
      <c r="Q1" s="313"/>
      <c r="R1" s="311" t="s">
        <v>7</v>
      </c>
      <c r="S1" s="312"/>
      <c r="T1" s="313"/>
      <c r="U1" s="311" t="s">
        <v>9</v>
      </c>
      <c r="V1" s="313"/>
      <c r="W1" s="311" t="s">
        <v>10</v>
      </c>
      <c r="X1" s="312"/>
      <c r="Y1" s="313"/>
      <c r="Z1" s="107"/>
      <c r="AA1" s="12" t="s">
        <v>128</v>
      </c>
      <c r="AE1" s="12" t="s">
        <v>124</v>
      </c>
    </row>
    <row r="2" spans="1:31" ht="13.5" customHeight="1" x14ac:dyDescent="0.15">
      <c r="A2" s="266"/>
      <c r="B2" s="267"/>
      <c r="C2" s="267"/>
      <c r="D2" s="267"/>
      <c r="E2" s="267"/>
      <c r="F2" s="268"/>
      <c r="G2" s="311" t="s">
        <v>6</v>
      </c>
      <c r="H2" s="312"/>
      <c r="I2" s="313"/>
      <c r="J2" s="21"/>
      <c r="K2" s="95"/>
      <c r="L2" s="95"/>
      <c r="M2" s="95"/>
      <c r="N2" s="95"/>
      <c r="O2" s="95"/>
      <c r="P2" s="246"/>
      <c r="Q2" s="247"/>
      <c r="R2" s="273"/>
      <c r="S2" s="274"/>
      <c r="T2" s="275"/>
      <c r="U2" s="246"/>
      <c r="V2" s="247"/>
      <c r="W2" s="273"/>
      <c r="X2" s="274"/>
      <c r="Y2" s="275"/>
      <c r="Z2" s="107"/>
      <c r="AA2" s="12">
        <f>SUM(AB:AB)</f>
        <v>670</v>
      </c>
    </row>
    <row r="3" spans="1:31" ht="13.5" customHeight="1" x14ac:dyDescent="0.15">
      <c r="A3" s="311" t="s">
        <v>82</v>
      </c>
      <c r="B3" s="312"/>
      <c r="C3" s="21" t="str">
        <f ca="1">RIGHT(CELL("filename",A2),LEN(CELL("filename",A2))-FIND("]",CELL("filename",A2)))</f>
        <v>ﾃﾞｰﾀ種別IDﾏｽﾀ</v>
      </c>
      <c r="D3" s="95"/>
      <c r="E3" s="95"/>
      <c r="F3" s="95"/>
      <c r="G3" s="311" t="s">
        <v>83</v>
      </c>
      <c r="H3" s="312"/>
      <c r="I3" s="313"/>
      <c r="J3" s="21" t="s">
        <v>239</v>
      </c>
      <c r="K3" s="95"/>
      <c r="L3" s="95"/>
      <c r="M3" s="95"/>
      <c r="N3" s="95"/>
      <c r="O3" s="95"/>
      <c r="P3" s="248"/>
      <c r="Q3" s="249"/>
      <c r="R3" s="276"/>
      <c r="S3" s="277"/>
      <c r="T3" s="278"/>
      <c r="U3" s="248"/>
      <c r="V3" s="249"/>
      <c r="W3" s="276"/>
      <c r="X3" s="277"/>
      <c r="Y3" s="278"/>
      <c r="Z3" s="107"/>
    </row>
    <row r="4" spans="1:31" x14ac:dyDescent="0.15">
      <c r="A4" s="86"/>
      <c r="B4" s="18"/>
      <c r="C4" s="18"/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  <c r="O4" s="18"/>
      <c r="P4" s="18"/>
      <c r="Q4" s="18"/>
      <c r="R4" s="18"/>
      <c r="S4" s="18"/>
      <c r="T4" s="18"/>
      <c r="U4" s="18"/>
      <c r="V4" s="18"/>
      <c r="W4" s="18"/>
      <c r="X4" s="18"/>
      <c r="Y4" s="18"/>
      <c r="Z4" s="92"/>
    </row>
    <row r="5" spans="1:31" ht="13.5" customHeight="1" x14ac:dyDescent="0.15">
      <c r="A5" s="83" t="s">
        <v>93</v>
      </c>
      <c r="B5" s="84"/>
      <c r="C5" s="84"/>
      <c r="D5" s="84"/>
      <c r="E5" s="84"/>
      <c r="F5" s="84"/>
      <c r="G5" s="84"/>
      <c r="H5" s="84"/>
      <c r="I5" s="84"/>
      <c r="J5" s="84"/>
      <c r="K5" s="84"/>
      <c r="L5" s="84"/>
      <c r="M5" s="84"/>
      <c r="N5" s="84"/>
      <c r="O5" s="84"/>
      <c r="P5" s="84"/>
      <c r="Q5" s="84"/>
      <c r="R5" s="84"/>
      <c r="S5" s="84"/>
      <c r="T5" s="84"/>
      <c r="U5" s="84"/>
      <c r="V5" s="84"/>
      <c r="W5" s="84"/>
      <c r="X5" s="84"/>
      <c r="Y5" s="85"/>
      <c r="Z5" s="92"/>
    </row>
    <row r="6" spans="1:31" x14ac:dyDescent="0.15">
      <c r="A6" s="164"/>
      <c r="B6" s="165"/>
      <c r="C6" s="165"/>
      <c r="D6" s="165"/>
      <c r="E6" s="165"/>
      <c r="F6" s="165"/>
      <c r="G6" s="165"/>
      <c r="H6" s="165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165"/>
      <c r="U6" s="165"/>
      <c r="V6" s="165"/>
      <c r="W6" s="165"/>
      <c r="X6" s="165"/>
      <c r="Y6" s="166"/>
      <c r="Z6" s="92"/>
    </row>
    <row r="7" spans="1:31" x14ac:dyDescent="0.15">
      <c r="A7" s="17"/>
      <c r="B7" s="163" t="s">
        <v>84</v>
      </c>
      <c r="C7" s="311" t="s">
        <v>205</v>
      </c>
      <c r="D7" s="312"/>
      <c r="E7" s="312"/>
      <c r="F7" s="313"/>
      <c r="G7" s="311" t="s">
        <v>83</v>
      </c>
      <c r="H7" s="312"/>
      <c r="I7" s="313"/>
      <c r="J7" s="311" t="s">
        <v>85</v>
      </c>
      <c r="K7" s="313"/>
      <c r="L7" s="97" t="s">
        <v>86</v>
      </c>
      <c r="M7" s="97" t="s">
        <v>87</v>
      </c>
      <c r="N7" s="97" t="s">
        <v>121</v>
      </c>
      <c r="O7" s="97" t="s">
        <v>88</v>
      </c>
      <c r="P7" s="97" t="s">
        <v>89</v>
      </c>
      <c r="Q7" s="97" t="s">
        <v>89</v>
      </c>
      <c r="R7" s="97" t="s">
        <v>89</v>
      </c>
      <c r="S7" s="97" t="s">
        <v>89</v>
      </c>
      <c r="T7" s="97" t="s">
        <v>89</v>
      </c>
      <c r="U7" s="311" t="s">
        <v>90</v>
      </c>
      <c r="V7" s="312"/>
      <c r="W7" s="312"/>
      <c r="X7" s="313"/>
      <c r="Y7" s="98"/>
      <c r="Z7" s="96" t="s">
        <v>126</v>
      </c>
      <c r="AA7" s="12" t="s">
        <v>127</v>
      </c>
      <c r="AB7" s="12" t="s">
        <v>125</v>
      </c>
    </row>
    <row r="8" spans="1:31" x14ac:dyDescent="0.15">
      <c r="A8" s="17"/>
      <c r="B8" s="99" t="s">
        <v>94</v>
      </c>
      <c r="C8" s="301" t="s">
        <v>255</v>
      </c>
      <c r="D8" s="302"/>
      <c r="E8" s="302"/>
      <c r="F8" s="303"/>
      <c r="G8" s="304">
        <v>1</v>
      </c>
      <c r="H8" s="305"/>
      <c r="I8" s="306"/>
      <c r="J8" s="304" t="s">
        <v>91</v>
      </c>
      <c r="K8" s="306"/>
      <c r="L8" s="100">
        <v>1</v>
      </c>
      <c r="M8" s="100"/>
      <c r="N8" s="100"/>
      <c r="O8" s="100"/>
      <c r="P8" s="100"/>
      <c r="Q8" s="100"/>
      <c r="R8" s="100"/>
      <c r="S8" s="100"/>
      <c r="T8" s="100"/>
      <c r="U8" s="307" t="s">
        <v>210</v>
      </c>
      <c r="V8" s="308"/>
      <c r="W8" s="308"/>
      <c r="X8" s="309"/>
      <c r="Y8" s="98"/>
      <c r="Z8" s="106">
        <f t="shared" ref="Z8:Z37" si="0">IF(LEFT(J8,7)="decimal",INT(MID(J8,9,FIND(",",J8,9)-9)),0)</f>
        <v>0</v>
      </c>
      <c r="AA8" s="105">
        <f t="shared" ref="AA8:AA37" si="1">IF(J8="varbinary(max)",2147483647,IF(J8="bit",1,IF(LEFT(J8,4)="char",INT(MID(J8,6,LEN(J8)-6)),IF(LEFT(J8,7)="varchar",INT(MID(J8,9,LEN(J8)-9)+2),IF(LEFT(J8,8)="nvarchar",INT(MID(J8,10,LEN(J8)-10)*2+2),IF(LEFT(J8,7)="decimal",IF(Z8&lt;10,5,IF(Z8&lt;20,9,IF(Z8&lt;29,13,17))),0))))))</f>
        <v>0</v>
      </c>
      <c r="AB8" s="105">
        <f t="shared" ref="AB8:AB37" si="2">IF(AA8&gt;0,AA8,IF(J8="date",3,IF(OR(J8="int",J8="real"),4,IF(J8="time",5,IF(OR(J8="datetime",J8="float",J8="datetime2"),8,IF(J8="uniqueidentifier",16,0))))))</f>
        <v>4</v>
      </c>
    </row>
    <row r="9" spans="1:31" x14ac:dyDescent="0.15">
      <c r="A9" s="17"/>
      <c r="B9" s="99">
        <f t="shared" ref="B9:B37" si="3">B8+1</f>
        <v>2</v>
      </c>
      <c r="C9" s="301" t="s">
        <v>323</v>
      </c>
      <c r="D9" s="302"/>
      <c r="E9" s="302"/>
      <c r="F9" s="303"/>
      <c r="G9" s="304">
        <v>1</v>
      </c>
      <c r="H9" s="305"/>
      <c r="I9" s="306"/>
      <c r="J9" s="304" t="s">
        <v>321</v>
      </c>
      <c r="K9" s="306"/>
      <c r="L9" s="100"/>
      <c r="M9" s="100" t="s">
        <v>319</v>
      </c>
      <c r="N9" s="150" t="s">
        <v>320</v>
      </c>
      <c r="O9" s="100"/>
      <c r="P9" s="100"/>
      <c r="Q9" s="100"/>
      <c r="R9" s="100"/>
      <c r="S9" s="100"/>
      <c r="T9" s="100"/>
      <c r="U9" s="307" t="s">
        <v>325</v>
      </c>
      <c r="V9" s="308"/>
      <c r="W9" s="308"/>
      <c r="X9" s="309"/>
      <c r="Y9" s="98"/>
      <c r="Z9" s="106">
        <f t="shared" si="0"/>
        <v>0</v>
      </c>
      <c r="AA9" s="105">
        <f t="shared" si="1"/>
        <v>6</v>
      </c>
      <c r="AB9" s="105">
        <f t="shared" si="2"/>
        <v>6</v>
      </c>
    </row>
    <row r="10" spans="1:31" x14ac:dyDescent="0.15">
      <c r="A10" s="17"/>
      <c r="B10" s="99">
        <f t="shared" si="3"/>
        <v>3</v>
      </c>
      <c r="C10" s="301" t="s">
        <v>327</v>
      </c>
      <c r="D10" s="302"/>
      <c r="E10" s="302"/>
      <c r="F10" s="303"/>
      <c r="G10" s="304">
        <v>1</v>
      </c>
      <c r="H10" s="305"/>
      <c r="I10" s="306"/>
      <c r="J10" s="304" t="s">
        <v>318</v>
      </c>
      <c r="K10" s="306"/>
      <c r="L10" s="100"/>
      <c r="M10" s="100"/>
      <c r="N10" s="150"/>
      <c r="O10" s="100"/>
      <c r="P10" s="100"/>
      <c r="Q10" s="100"/>
      <c r="R10" s="100"/>
      <c r="S10" s="100"/>
      <c r="T10" s="100"/>
      <c r="U10" s="307" t="s">
        <v>325</v>
      </c>
      <c r="V10" s="308"/>
      <c r="W10" s="308"/>
      <c r="X10" s="309"/>
      <c r="Y10" s="98"/>
      <c r="Z10" s="106">
        <f t="shared" si="0"/>
        <v>0</v>
      </c>
      <c r="AA10" s="105">
        <f t="shared" si="1"/>
        <v>130</v>
      </c>
      <c r="AB10" s="105">
        <f t="shared" si="2"/>
        <v>130</v>
      </c>
    </row>
    <row r="11" spans="1:31" x14ac:dyDescent="0.15">
      <c r="A11" s="17"/>
      <c r="B11" s="99">
        <f t="shared" si="3"/>
        <v>4</v>
      </c>
      <c r="C11" s="301" t="s">
        <v>324</v>
      </c>
      <c r="D11" s="302"/>
      <c r="E11" s="302"/>
      <c r="F11" s="303"/>
      <c r="G11" s="304">
        <v>1</v>
      </c>
      <c r="H11" s="305"/>
      <c r="I11" s="306"/>
      <c r="J11" s="304" t="s">
        <v>322</v>
      </c>
      <c r="K11" s="306"/>
      <c r="L11" s="100"/>
      <c r="M11" s="100" t="s">
        <v>319</v>
      </c>
      <c r="N11" s="150" t="s">
        <v>320</v>
      </c>
      <c r="O11" s="100"/>
      <c r="P11" s="100"/>
      <c r="Q11" s="100"/>
      <c r="R11" s="100"/>
      <c r="S11" s="100"/>
      <c r="T11" s="100"/>
      <c r="U11" s="307" t="s">
        <v>325</v>
      </c>
      <c r="V11" s="308"/>
      <c r="W11" s="308"/>
      <c r="X11" s="309"/>
      <c r="Y11" s="98"/>
      <c r="Z11" s="106">
        <f t="shared" si="0"/>
        <v>0</v>
      </c>
      <c r="AA11" s="105">
        <f t="shared" si="1"/>
        <v>4</v>
      </c>
      <c r="AB11" s="105">
        <f t="shared" si="2"/>
        <v>4</v>
      </c>
    </row>
    <row r="12" spans="1:31" x14ac:dyDescent="0.15">
      <c r="A12" s="17"/>
      <c r="B12" s="99">
        <f t="shared" si="3"/>
        <v>5</v>
      </c>
      <c r="C12" s="301" t="s">
        <v>328</v>
      </c>
      <c r="D12" s="302"/>
      <c r="E12" s="302"/>
      <c r="F12" s="303"/>
      <c r="G12" s="304">
        <v>1</v>
      </c>
      <c r="H12" s="305"/>
      <c r="I12" s="306"/>
      <c r="J12" s="304" t="s">
        <v>318</v>
      </c>
      <c r="K12" s="306"/>
      <c r="L12" s="100"/>
      <c r="M12" s="100"/>
      <c r="N12" s="150"/>
      <c r="O12" s="100"/>
      <c r="P12" s="100"/>
      <c r="Q12" s="100"/>
      <c r="R12" s="100"/>
      <c r="S12" s="100"/>
      <c r="T12" s="100"/>
      <c r="U12" s="307" t="s">
        <v>325</v>
      </c>
      <c r="V12" s="308"/>
      <c r="W12" s="308"/>
      <c r="X12" s="309"/>
      <c r="Y12" s="98"/>
      <c r="Z12" s="106">
        <f t="shared" si="0"/>
        <v>0</v>
      </c>
      <c r="AA12" s="105">
        <f t="shared" si="1"/>
        <v>130</v>
      </c>
      <c r="AB12" s="105">
        <f t="shared" si="2"/>
        <v>130</v>
      </c>
    </row>
    <row r="13" spans="1:31" x14ac:dyDescent="0.15">
      <c r="A13" s="17"/>
      <c r="B13" s="99">
        <f t="shared" si="3"/>
        <v>6</v>
      </c>
      <c r="C13" s="301" t="s">
        <v>254</v>
      </c>
      <c r="D13" s="302"/>
      <c r="E13" s="302"/>
      <c r="F13" s="303"/>
      <c r="G13" s="304">
        <v>1</v>
      </c>
      <c r="H13" s="305"/>
      <c r="I13" s="306"/>
      <c r="J13" s="304" t="s">
        <v>91</v>
      </c>
      <c r="K13" s="306"/>
      <c r="L13" s="100"/>
      <c r="M13" s="100" t="s">
        <v>319</v>
      </c>
      <c r="N13" s="150" t="s">
        <v>326</v>
      </c>
      <c r="O13" s="100"/>
      <c r="P13" s="100"/>
      <c r="Q13" s="100"/>
      <c r="R13" s="100"/>
      <c r="S13" s="100"/>
      <c r="T13" s="100"/>
      <c r="U13" s="307" t="s">
        <v>260</v>
      </c>
      <c r="V13" s="308"/>
      <c r="W13" s="308"/>
      <c r="X13" s="309"/>
      <c r="Y13" s="98"/>
      <c r="Z13" s="106">
        <f t="shared" si="0"/>
        <v>0</v>
      </c>
      <c r="AA13" s="105">
        <f t="shared" si="1"/>
        <v>0</v>
      </c>
      <c r="AB13" s="105">
        <f t="shared" si="2"/>
        <v>4</v>
      </c>
    </row>
    <row r="14" spans="1:31" x14ac:dyDescent="0.15">
      <c r="A14" s="17"/>
      <c r="B14" s="99">
        <f t="shared" si="3"/>
        <v>7</v>
      </c>
      <c r="C14" s="301" t="s">
        <v>329</v>
      </c>
      <c r="D14" s="302"/>
      <c r="E14" s="302"/>
      <c r="F14" s="303"/>
      <c r="G14" s="304">
        <v>1</v>
      </c>
      <c r="H14" s="305"/>
      <c r="I14" s="306"/>
      <c r="J14" s="304" t="s">
        <v>318</v>
      </c>
      <c r="K14" s="306"/>
      <c r="L14" s="100"/>
      <c r="M14" s="100"/>
      <c r="N14" s="100"/>
      <c r="O14" s="100"/>
      <c r="P14" s="100"/>
      <c r="Q14" s="100"/>
      <c r="R14" s="100"/>
      <c r="S14" s="100"/>
      <c r="T14" s="100"/>
      <c r="U14" s="307" t="s">
        <v>330</v>
      </c>
      <c r="V14" s="308"/>
      <c r="W14" s="308"/>
      <c r="X14" s="309"/>
      <c r="Y14" s="98"/>
      <c r="Z14" s="106">
        <f t="shared" si="0"/>
        <v>0</v>
      </c>
      <c r="AA14" s="105">
        <f t="shared" si="1"/>
        <v>130</v>
      </c>
      <c r="AB14" s="105">
        <f t="shared" si="2"/>
        <v>130</v>
      </c>
    </row>
    <row r="15" spans="1:31" x14ac:dyDescent="0.15">
      <c r="A15" s="101"/>
      <c r="B15" s="99">
        <f t="shared" si="3"/>
        <v>8</v>
      </c>
      <c r="C15" s="301" t="s">
        <v>227</v>
      </c>
      <c r="D15" s="302"/>
      <c r="E15" s="302"/>
      <c r="F15" s="303"/>
      <c r="G15" s="304">
        <v>1</v>
      </c>
      <c r="H15" s="305"/>
      <c r="I15" s="306"/>
      <c r="J15" s="304" t="s">
        <v>91</v>
      </c>
      <c r="K15" s="306"/>
      <c r="L15" s="100"/>
      <c r="M15" s="100" t="s">
        <v>319</v>
      </c>
      <c r="N15" s="150" t="s">
        <v>326</v>
      </c>
      <c r="O15" s="100"/>
      <c r="P15" s="100"/>
      <c r="Q15" s="100"/>
      <c r="R15" s="100"/>
      <c r="S15" s="100"/>
      <c r="T15" s="100"/>
      <c r="U15" s="307" t="s">
        <v>210</v>
      </c>
      <c r="V15" s="308"/>
      <c r="W15" s="308"/>
      <c r="X15" s="309"/>
      <c r="Y15" s="98"/>
      <c r="Z15" s="106">
        <f t="shared" si="0"/>
        <v>0</v>
      </c>
      <c r="AA15" s="105">
        <f t="shared" si="1"/>
        <v>0</v>
      </c>
      <c r="AB15" s="105">
        <f t="shared" si="2"/>
        <v>4</v>
      </c>
    </row>
    <row r="16" spans="1:31" x14ac:dyDescent="0.15">
      <c r="A16" s="101"/>
      <c r="B16" s="99">
        <f t="shared" si="3"/>
        <v>9</v>
      </c>
      <c r="C16" s="301" t="s">
        <v>335</v>
      </c>
      <c r="D16" s="302"/>
      <c r="E16" s="302"/>
      <c r="F16" s="303"/>
      <c r="G16" s="304">
        <v>1</v>
      </c>
      <c r="H16" s="305"/>
      <c r="I16" s="306"/>
      <c r="J16" s="304" t="s">
        <v>226</v>
      </c>
      <c r="K16" s="306"/>
      <c r="L16" s="100"/>
      <c r="M16" s="180" t="s">
        <v>92</v>
      </c>
      <c r="N16" s="104" t="s">
        <v>235</v>
      </c>
      <c r="O16" s="100"/>
      <c r="P16" s="100"/>
      <c r="Q16" s="100"/>
      <c r="R16" s="100"/>
      <c r="S16" s="100"/>
      <c r="T16" s="100"/>
      <c r="U16" s="310" t="s">
        <v>336</v>
      </c>
      <c r="V16" s="308"/>
      <c r="W16" s="308"/>
      <c r="X16" s="309"/>
      <c r="Y16" s="98"/>
      <c r="Z16" s="106">
        <f t="shared" si="0"/>
        <v>0</v>
      </c>
      <c r="AA16" s="105">
        <f t="shared" si="1"/>
        <v>258</v>
      </c>
      <c r="AB16" s="105">
        <f t="shared" si="2"/>
        <v>258</v>
      </c>
    </row>
    <row r="17" spans="1:28" x14ac:dyDescent="0.15">
      <c r="A17" s="101"/>
      <c r="B17" s="99">
        <f t="shared" si="3"/>
        <v>10</v>
      </c>
      <c r="C17" s="301"/>
      <c r="D17" s="302"/>
      <c r="E17" s="302"/>
      <c r="F17" s="303"/>
      <c r="G17" s="304"/>
      <c r="H17" s="305"/>
      <c r="I17" s="306"/>
      <c r="J17" s="304"/>
      <c r="K17" s="306"/>
      <c r="L17" s="100"/>
      <c r="M17" s="162"/>
      <c r="N17" s="150"/>
      <c r="O17" s="100"/>
      <c r="P17" s="100"/>
      <c r="Q17" s="100"/>
      <c r="R17" s="100"/>
      <c r="S17" s="100"/>
      <c r="T17" s="100"/>
      <c r="U17" s="307"/>
      <c r="V17" s="308"/>
      <c r="W17" s="308"/>
      <c r="X17" s="309"/>
      <c r="Y17" s="98"/>
      <c r="Z17" s="106">
        <f t="shared" si="0"/>
        <v>0</v>
      </c>
      <c r="AA17" s="105">
        <f t="shared" si="1"/>
        <v>0</v>
      </c>
      <c r="AB17" s="105">
        <f t="shared" si="2"/>
        <v>0</v>
      </c>
    </row>
    <row r="18" spans="1:28" x14ac:dyDescent="0.15">
      <c r="A18" s="101"/>
      <c r="B18" s="99">
        <f t="shared" si="3"/>
        <v>11</v>
      </c>
      <c r="C18" s="301"/>
      <c r="D18" s="302"/>
      <c r="E18" s="302"/>
      <c r="F18" s="303"/>
      <c r="G18" s="304"/>
      <c r="H18" s="305"/>
      <c r="I18" s="306"/>
      <c r="J18" s="304"/>
      <c r="K18" s="306"/>
      <c r="L18" s="100"/>
      <c r="M18" s="100"/>
      <c r="N18" s="150"/>
      <c r="O18" s="100"/>
      <c r="P18" s="100"/>
      <c r="Q18" s="100"/>
      <c r="R18" s="100"/>
      <c r="S18" s="100"/>
      <c r="T18" s="100"/>
      <c r="U18" s="307"/>
      <c r="V18" s="308"/>
      <c r="W18" s="308"/>
      <c r="X18" s="309"/>
      <c r="Y18" s="98"/>
      <c r="Z18" s="106">
        <f t="shared" si="0"/>
        <v>0</v>
      </c>
      <c r="AA18" s="105">
        <f t="shared" si="1"/>
        <v>0</v>
      </c>
      <c r="AB18" s="105">
        <f t="shared" si="2"/>
        <v>0</v>
      </c>
    </row>
    <row r="19" spans="1:28" x14ac:dyDescent="0.15">
      <c r="A19" s="101"/>
      <c r="B19" s="99">
        <f t="shared" si="3"/>
        <v>12</v>
      </c>
      <c r="C19" s="301"/>
      <c r="D19" s="302"/>
      <c r="E19" s="302"/>
      <c r="F19" s="303"/>
      <c r="G19" s="304"/>
      <c r="H19" s="305"/>
      <c r="I19" s="306"/>
      <c r="J19" s="304"/>
      <c r="K19" s="306"/>
      <c r="L19" s="100"/>
      <c r="M19" s="100"/>
      <c r="N19" s="150"/>
      <c r="O19" s="100"/>
      <c r="P19" s="100"/>
      <c r="Q19" s="100"/>
      <c r="R19" s="100"/>
      <c r="S19" s="100"/>
      <c r="T19" s="100"/>
      <c r="U19" s="307"/>
      <c r="V19" s="308"/>
      <c r="W19" s="308"/>
      <c r="X19" s="309"/>
      <c r="Y19" s="98"/>
      <c r="Z19" s="106">
        <f t="shared" si="0"/>
        <v>0</v>
      </c>
      <c r="AA19" s="105">
        <f t="shared" si="1"/>
        <v>0</v>
      </c>
      <c r="AB19" s="105">
        <f t="shared" si="2"/>
        <v>0</v>
      </c>
    </row>
    <row r="20" spans="1:28" x14ac:dyDescent="0.15">
      <c r="A20" s="101"/>
      <c r="B20" s="99">
        <f t="shared" si="3"/>
        <v>13</v>
      </c>
      <c r="C20" s="301"/>
      <c r="D20" s="302"/>
      <c r="E20" s="302"/>
      <c r="F20" s="303"/>
      <c r="G20" s="304"/>
      <c r="H20" s="305"/>
      <c r="I20" s="306"/>
      <c r="J20" s="304"/>
      <c r="K20" s="306"/>
      <c r="L20" s="100"/>
      <c r="M20" s="162"/>
      <c r="N20" s="150"/>
      <c r="O20" s="100"/>
      <c r="P20" s="100"/>
      <c r="Q20" s="100"/>
      <c r="R20" s="100"/>
      <c r="S20" s="100"/>
      <c r="T20" s="100"/>
      <c r="U20" s="307"/>
      <c r="V20" s="308"/>
      <c r="W20" s="308"/>
      <c r="X20" s="309"/>
      <c r="Y20" s="98"/>
      <c r="Z20" s="106">
        <f t="shared" si="0"/>
        <v>0</v>
      </c>
      <c r="AA20" s="105">
        <f t="shared" si="1"/>
        <v>0</v>
      </c>
      <c r="AB20" s="105">
        <f t="shared" si="2"/>
        <v>0</v>
      </c>
    </row>
    <row r="21" spans="1:28" x14ac:dyDescent="0.15">
      <c r="A21" s="101"/>
      <c r="B21" s="99">
        <f t="shared" si="3"/>
        <v>14</v>
      </c>
      <c r="C21" s="301"/>
      <c r="D21" s="302"/>
      <c r="E21" s="302"/>
      <c r="F21" s="303"/>
      <c r="G21" s="304"/>
      <c r="H21" s="305"/>
      <c r="I21" s="306"/>
      <c r="J21" s="304"/>
      <c r="K21" s="306"/>
      <c r="L21" s="100"/>
      <c r="M21" s="100"/>
      <c r="N21" s="150"/>
      <c r="O21" s="100"/>
      <c r="P21" s="100"/>
      <c r="Q21" s="100"/>
      <c r="R21" s="100"/>
      <c r="S21" s="100"/>
      <c r="T21" s="100"/>
      <c r="U21" s="307"/>
      <c r="V21" s="308"/>
      <c r="W21" s="308"/>
      <c r="X21" s="309"/>
      <c r="Y21" s="98"/>
      <c r="Z21" s="106">
        <f t="shared" si="0"/>
        <v>0</v>
      </c>
      <c r="AA21" s="105">
        <f t="shared" si="1"/>
        <v>0</v>
      </c>
      <c r="AB21" s="105">
        <f t="shared" si="2"/>
        <v>0</v>
      </c>
    </row>
    <row r="22" spans="1:28" x14ac:dyDescent="0.15">
      <c r="A22" s="101"/>
      <c r="B22" s="99">
        <f t="shared" si="3"/>
        <v>15</v>
      </c>
      <c r="C22" s="301"/>
      <c r="D22" s="302"/>
      <c r="E22" s="302"/>
      <c r="F22" s="303"/>
      <c r="G22" s="304"/>
      <c r="H22" s="305"/>
      <c r="I22" s="306"/>
      <c r="J22" s="304"/>
      <c r="K22" s="306"/>
      <c r="L22" s="100"/>
      <c r="M22" s="100"/>
      <c r="N22" s="150"/>
      <c r="O22" s="100"/>
      <c r="P22" s="100"/>
      <c r="Q22" s="100"/>
      <c r="R22" s="100"/>
      <c r="S22" s="100"/>
      <c r="T22" s="100"/>
      <c r="U22" s="307"/>
      <c r="V22" s="308"/>
      <c r="W22" s="308"/>
      <c r="X22" s="309"/>
      <c r="Y22" s="98"/>
      <c r="Z22" s="106">
        <f t="shared" si="0"/>
        <v>0</v>
      </c>
      <c r="AA22" s="105">
        <f t="shared" si="1"/>
        <v>0</v>
      </c>
      <c r="AB22" s="105">
        <f t="shared" si="2"/>
        <v>0</v>
      </c>
    </row>
    <row r="23" spans="1:28" x14ac:dyDescent="0.15">
      <c r="A23" s="101"/>
      <c r="B23" s="99">
        <f t="shared" si="3"/>
        <v>16</v>
      </c>
      <c r="C23" s="301"/>
      <c r="D23" s="302"/>
      <c r="E23" s="302"/>
      <c r="F23" s="303"/>
      <c r="G23" s="304"/>
      <c r="H23" s="305"/>
      <c r="I23" s="306"/>
      <c r="J23" s="304"/>
      <c r="K23" s="306"/>
      <c r="L23" s="100"/>
      <c r="M23" s="100"/>
      <c r="N23" s="150"/>
      <c r="O23" s="100"/>
      <c r="P23" s="100"/>
      <c r="Q23" s="100"/>
      <c r="R23" s="100"/>
      <c r="S23" s="100"/>
      <c r="T23" s="100"/>
      <c r="U23" s="307"/>
      <c r="V23" s="308"/>
      <c r="W23" s="308"/>
      <c r="X23" s="309"/>
      <c r="Y23" s="98"/>
      <c r="Z23" s="106">
        <f t="shared" si="0"/>
        <v>0</v>
      </c>
      <c r="AA23" s="105">
        <f t="shared" si="1"/>
        <v>0</v>
      </c>
      <c r="AB23" s="105">
        <f t="shared" si="2"/>
        <v>0</v>
      </c>
    </row>
    <row r="24" spans="1:28" x14ac:dyDescent="0.15">
      <c r="A24" s="101"/>
      <c r="B24" s="99">
        <f t="shared" si="3"/>
        <v>17</v>
      </c>
      <c r="C24" s="301"/>
      <c r="D24" s="302"/>
      <c r="E24" s="302"/>
      <c r="F24" s="303"/>
      <c r="G24" s="304"/>
      <c r="H24" s="305"/>
      <c r="I24" s="306"/>
      <c r="J24" s="304"/>
      <c r="K24" s="306"/>
      <c r="L24" s="100"/>
      <c r="M24" s="100"/>
      <c r="N24" s="100"/>
      <c r="O24" s="100"/>
      <c r="P24" s="100"/>
      <c r="Q24" s="100"/>
      <c r="R24" s="100"/>
      <c r="S24" s="100"/>
      <c r="T24" s="100"/>
      <c r="U24" s="301"/>
      <c r="V24" s="302"/>
      <c r="W24" s="302"/>
      <c r="X24" s="303"/>
      <c r="Y24" s="98"/>
      <c r="Z24" s="106">
        <f t="shared" si="0"/>
        <v>0</v>
      </c>
      <c r="AA24" s="105">
        <f t="shared" si="1"/>
        <v>0</v>
      </c>
      <c r="AB24" s="105">
        <f t="shared" si="2"/>
        <v>0</v>
      </c>
    </row>
    <row r="25" spans="1:28" x14ac:dyDescent="0.15">
      <c r="A25" s="101"/>
      <c r="B25" s="99">
        <f t="shared" si="3"/>
        <v>18</v>
      </c>
      <c r="C25" s="301"/>
      <c r="D25" s="302"/>
      <c r="E25" s="302"/>
      <c r="F25" s="303"/>
      <c r="G25" s="304"/>
      <c r="H25" s="305"/>
      <c r="I25" s="306"/>
      <c r="J25" s="304"/>
      <c r="K25" s="306"/>
      <c r="L25" s="100"/>
      <c r="M25" s="100"/>
      <c r="N25" s="100"/>
      <c r="O25" s="100"/>
      <c r="P25" s="100"/>
      <c r="Q25" s="100"/>
      <c r="R25" s="100"/>
      <c r="S25" s="100"/>
      <c r="T25" s="100"/>
      <c r="U25" s="301"/>
      <c r="V25" s="302"/>
      <c r="W25" s="302"/>
      <c r="X25" s="303"/>
      <c r="Y25" s="98"/>
      <c r="Z25" s="106">
        <f t="shared" si="0"/>
        <v>0</v>
      </c>
      <c r="AA25" s="105">
        <f t="shared" si="1"/>
        <v>0</v>
      </c>
      <c r="AB25" s="105">
        <f t="shared" si="2"/>
        <v>0</v>
      </c>
    </row>
    <row r="26" spans="1:28" x14ac:dyDescent="0.15">
      <c r="A26" s="101"/>
      <c r="B26" s="99">
        <f t="shared" si="3"/>
        <v>19</v>
      </c>
      <c r="C26" s="301"/>
      <c r="D26" s="302"/>
      <c r="E26" s="302"/>
      <c r="F26" s="303"/>
      <c r="G26" s="304"/>
      <c r="H26" s="305"/>
      <c r="I26" s="306"/>
      <c r="J26" s="304"/>
      <c r="K26" s="306"/>
      <c r="L26" s="100"/>
      <c r="M26" s="100"/>
      <c r="N26" s="100"/>
      <c r="O26" s="100"/>
      <c r="P26" s="100"/>
      <c r="Q26" s="100"/>
      <c r="R26" s="100"/>
      <c r="S26" s="100"/>
      <c r="T26" s="100"/>
      <c r="U26" s="301"/>
      <c r="V26" s="302"/>
      <c r="W26" s="302"/>
      <c r="X26" s="303"/>
      <c r="Y26" s="98"/>
      <c r="Z26" s="106">
        <f t="shared" si="0"/>
        <v>0</v>
      </c>
      <c r="AA26" s="105">
        <f t="shared" si="1"/>
        <v>0</v>
      </c>
      <c r="AB26" s="105">
        <f t="shared" si="2"/>
        <v>0</v>
      </c>
    </row>
    <row r="27" spans="1:28" x14ac:dyDescent="0.15">
      <c r="A27" s="101"/>
      <c r="B27" s="99">
        <f t="shared" si="3"/>
        <v>20</v>
      </c>
      <c r="C27" s="301"/>
      <c r="D27" s="302"/>
      <c r="E27" s="302"/>
      <c r="F27" s="303"/>
      <c r="G27" s="304"/>
      <c r="H27" s="305"/>
      <c r="I27" s="306"/>
      <c r="J27" s="304"/>
      <c r="K27" s="306"/>
      <c r="L27" s="100"/>
      <c r="M27" s="100"/>
      <c r="N27" s="100"/>
      <c r="O27" s="100"/>
      <c r="P27" s="100"/>
      <c r="Q27" s="100"/>
      <c r="R27" s="100"/>
      <c r="S27" s="100"/>
      <c r="T27" s="100"/>
      <c r="U27" s="301"/>
      <c r="V27" s="302"/>
      <c r="W27" s="302"/>
      <c r="X27" s="303"/>
      <c r="Y27" s="98"/>
      <c r="Z27" s="106">
        <f t="shared" si="0"/>
        <v>0</v>
      </c>
      <c r="AA27" s="105">
        <f t="shared" si="1"/>
        <v>0</v>
      </c>
      <c r="AB27" s="105">
        <f t="shared" si="2"/>
        <v>0</v>
      </c>
    </row>
    <row r="28" spans="1:28" x14ac:dyDescent="0.15">
      <c r="A28" s="101"/>
      <c r="B28" s="99">
        <f t="shared" si="3"/>
        <v>21</v>
      </c>
      <c r="C28" s="301"/>
      <c r="D28" s="302"/>
      <c r="E28" s="302"/>
      <c r="F28" s="303"/>
      <c r="G28" s="304"/>
      <c r="H28" s="305"/>
      <c r="I28" s="306"/>
      <c r="J28" s="304"/>
      <c r="K28" s="306"/>
      <c r="L28" s="100"/>
      <c r="M28" s="100"/>
      <c r="N28" s="100"/>
      <c r="O28" s="100"/>
      <c r="P28" s="100"/>
      <c r="Q28" s="100"/>
      <c r="R28" s="100"/>
      <c r="S28" s="100"/>
      <c r="T28" s="100"/>
      <c r="U28" s="301"/>
      <c r="V28" s="302"/>
      <c r="W28" s="302"/>
      <c r="X28" s="303"/>
      <c r="Y28" s="98"/>
      <c r="Z28" s="106">
        <f t="shared" si="0"/>
        <v>0</v>
      </c>
      <c r="AA28" s="105">
        <f t="shared" si="1"/>
        <v>0</v>
      </c>
      <c r="AB28" s="105">
        <f t="shared" si="2"/>
        <v>0</v>
      </c>
    </row>
    <row r="29" spans="1:28" x14ac:dyDescent="0.15">
      <c r="A29" s="101"/>
      <c r="B29" s="99">
        <f t="shared" si="3"/>
        <v>22</v>
      </c>
      <c r="C29" s="301"/>
      <c r="D29" s="302"/>
      <c r="E29" s="302"/>
      <c r="F29" s="303"/>
      <c r="G29" s="304"/>
      <c r="H29" s="305"/>
      <c r="I29" s="306"/>
      <c r="J29" s="304"/>
      <c r="K29" s="306"/>
      <c r="L29" s="100"/>
      <c r="M29" s="100"/>
      <c r="N29" s="100"/>
      <c r="O29" s="100"/>
      <c r="P29" s="100"/>
      <c r="Q29" s="100"/>
      <c r="R29" s="100"/>
      <c r="S29" s="100"/>
      <c r="T29" s="100"/>
      <c r="U29" s="301"/>
      <c r="V29" s="302"/>
      <c r="W29" s="302"/>
      <c r="X29" s="303"/>
      <c r="Y29" s="98"/>
      <c r="Z29" s="106">
        <f t="shared" si="0"/>
        <v>0</v>
      </c>
      <c r="AA29" s="105">
        <f t="shared" si="1"/>
        <v>0</v>
      </c>
      <c r="AB29" s="105">
        <f t="shared" si="2"/>
        <v>0</v>
      </c>
    </row>
    <row r="30" spans="1:28" x14ac:dyDescent="0.15">
      <c r="A30" s="101"/>
      <c r="B30" s="99">
        <f t="shared" si="3"/>
        <v>23</v>
      </c>
      <c r="C30" s="301"/>
      <c r="D30" s="302"/>
      <c r="E30" s="302"/>
      <c r="F30" s="303"/>
      <c r="G30" s="304"/>
      <c r="H30" s="305"/>
      <c r="I30" s="306"/>
      <c r="J30" s="304"/>
      <c r="K30" s="306"/>
      <c r="L30" s="100"/>
      <c r="M30" s="100"/>
      <c r="N30" s="100"/>
      <c r="O30" s="100"/>
      <c r="P30" s="100"/>
      <c r="Q30" s="100"/>
      <c r="R30" s="100"/>
      <c r="S30" s="100"/>
      <c r="T30" s="100"/>
      <c r="U30" s="301"/>
      <c r="V30" s="302"/>
      <c r="W30" s="302"/>
      <c r="X30" s="303"/>
      <c r="Y30" s="98"/>
      <c r="Z30" s="106">
        <f t="shared" si="0"/>
        <v>0</v>
      </c>
      <c r="AA30" s="105">
        <f t="shared" si="1"/>
        <v>0</v>
      </c>
      <c r="AB30" s="105">
        <f t="shared" si="2"/>
        <v>0</v>
      </c>
    </row>
    <row r="31" spans="1:28" x14ac:dyDescent="0.15">
      <c r="A31" s="101"/>
      <c r="B31" s="99">
        <f t="shared" si="3"/>
        <v>24</v>
      </c>
      <c r="C31" s="301"/>
      <c r="D31" s="302"/>
      <c r="E31" s="302"/>
      <c r="F31" s="303"/>
      <c r="G31" s="304"/>
      <c r="H31" s="305"/>
      <c r="I31" s="306"/>
      <c r="J31" s="304"/>
      <c r="K31" s="306"/>
      <c r="L31" s="100"/>
      <c r="M31" s="100"/>
      <c r="N31" s="100"/>
      <c r="O31" s="100"/>
      <c r="P31" s="100"/>
      <c r="Q31" s="100"/>
      <c r="R31" s="100"/>
      <c r="S31" s="100"/>
      <c r="T31" s="100"/>
      <c r="U31" s="301"/>
      <c r="V31" s="302"/>
      <c r="W31" s="302"/>
      <c r="X31" s="303"/>
      <c r="Y31" s="98"/>
      <c r="Z31" s="106">
        <f t="shared" si="0"/>
        <v>0</v>
      </c>
      <c r="AA31" s="105">
        <f t="shared" si="1"/>
        <v>0</v>
      </c>
      <c r="AB31" s="105">
        <f t="shared" si="2"/>
        <v>0</v>
      </c>
    </row>
    <row r="32" spans="1:28" x14ac:dyDescent="0.15">
      <c r="A32" s="101"/>
      <c r="B32" s="99">
        <f t="shared" si="3"/>
        <v>25</v>
      </c>
      <c r="C32" s="301"/>
      <c r="D32" s="302"/>
      <c r="E32" s="302"/>
      <c r="F32" s="303"/>
      <c r="G32" s="304"/>
      <c r="H32" s="305"/>
      <c r="I32" s="306"/>
      <c r="J32" s="304"/>
      <c r="K32" s="306"/>
      <c r="L32" s="100"/>
      <c r="M32" s="100"/>
      <c r="N32" s="100"/>
      <c r="O32" s="100"/>
      <c r="P32" s="100"/>
      <c r="Q32" s="100"/>
      <c r="R32" s="100"/>
      <c r="S32" s="100"/>
      <c r="T32" s="100"/>
      <c r="U32" s="301"/>
      <c r="V32" s="302"/>
      <c r="W32" s="302"/>
      <c r="X32" s="303"/>
      <c r="Y32" s="98"/>
      <c r="Z32" s="106">
        <f t="shared" si="0"/>
        <v>0</v>
      </c>
      <c r="AA32" s="105">
        <f t="shared" si="1"/>
        <v>0</v>
      </c>
      <c r="AB32" s="105">
        <f t="shared" si="2"/>
        <v>0</v>
      </c>
    </row>
    <row r="33" spans="1:28" x14ac:dyDescent="0.15">
      <c r="A33" s="101"/>
      <c r="B33" s="99">
        <f t="shared" si="3"/>
        <v>26</v>
      </c>
      <c r="C33" s="301"/>
      <c r="D33" s="302"/>
      <c r="E33" s="302"/>
      <c r="F33" s="303"/>
      <c r="G33" s="304"/>
      <c r="H33" s="305"/>
      <c r="I33" s="306"/>
      <c r="J33" s="304"/>
      <c r="K33" s="306"/>
      <c r="L33" s="100"/>
      <c r="M33" s="100"/>
      <c r="N33" s="100"/>
      <c r="O33" s="100"/>
      <c r="P33" s="100"/>
      <c r="Q33" s="100"/>
      <c r="R33" s="100"/>
      <c r="S33" s="100"/>
      <c r="T33" s="100"/>
      <c r="U33" s="301"/>
      <c r="V33" s="302"/>
      <c r="W33" s="302"/>
      <c r="X33" s="303"/>
      <c r="Y33" s="98"/>
      <c r="Z33" s="106">
        <f t="shared" si="0"/>
        <v>0</v>
      </c>
      <c r="AA33" s="105">
        <f t="shared" si="1"/>
        <v>0</v>
      </c>
      <c r="AB33" s="105">
        <f t="shared" si="2"/>
        <v>0</v>
      </c>
    </row>
    <row r="34" spans="1:28" x14ac:dyDescent="0.15">
      <c r="A34" s="101"/>
      <c r="B34" s="99">
        <f t="shared" si="3"/>
        <v>27</v>
      </c>
      <c r="C34" s="301"/>
      <c r="D34" s="302"/>
      <c r="E34" s="302"/>
      <c r="F34" s="303"/>
      <c r="G34" s="304"/>
      <c r="H34" s="305"/>
      <c r="I34" s="306"/>
      <c r="J34" s="304"/>
      <c r="K34" s="306"/>
      <c r="L34" s="100"/>
      <c r="M34" s="100"/>
      <c r="N34" s="100"/>
      <c r="O34" s="100"/>
      <c r="P34" s="100"/>
      <c r="Q34" s="100"/>
      <c r="R34" s="100"/>
      <c r="S34" s="100"/>
      <c r="T34" s="100"/>
      <c r="U34" s="301"/>
      <c r="V34" s="302"/>
      <c r="W34" s="302"/>
      <c r="X34" s="303"/>
      <c r="Y34" s="98"/>
      <c r="Z34" s="106">
        <f t="shared" si="0"/>
        <v>0</v>
      </c>
      <c r="AA34" s="105">
        <f t="shared" si="1"/>
        <v>0</v>
      </c>
      <c r="AB34" s="105">
        <f t="shared" si="2"/>
        <v>0</v>
      </c>
    </row>
    <row r="35" spans="1:28" x14ac:dyDescent="0.15">
      <c r="A35" s="101"/>
      <c r="B35" s="99">
        <f t="shared" si="3"/>
        <v>28</v>
      </c>
      <c r="C35" s="301"/>
      <c r="D35" s="302"/>
      <c r="E35" s="302"/>
      <c r="F35" s="303"/>
      <c r="G35" s="304"/>
      <c r="H35" s="305"/>
      <c r="I35" s="306"/>
      <c r="J35" s="304"/>
      <c r="K35" s="306"/>
      <c r="L35" s="100"/>
      <c r="M35" s="100"/>
      <c r="N35" s="100"/>
      <c r="O35" s="100"/>
      <c r="P35" s="100"/>
      <c r="Q35" s="100"/>
      <c r="R35" s="100"/>
      <c r="S35" s="100"/>
      <c r="T35" s="100"/>
      <c r="U35" s="301"/>
      <c r="V35" s="302"/>
      <c r="W35" s="302"/>
      <c r="X35" s="303"/>
      <c r="Y35" s="98"/>
      <c r="Z35" s="106">
        <f t="shared" si="0"/>
        <v>0</v>
      </c>
      <c r="AA35" s="105">
        <f t="shared" si="1"/>
        <v>0</v>
      </c>
      <c r="AB35" s="105">
        <f t="shared" si="2"/>
        <v>0</v>
      </c>
    </row>
    <row r="36" spans="1:28" x14ac:dyDescent="0.15">
      <c r="A36" s="101"/>
      <c r="B36" s="99">
        <f t="shared" si="3"/>
        <v>29</v>
      </c>
      <c r="C36" s="301"/>
      <c r="D36" s="302"/>
      <c r="E36" s="302"/>
      <c r="F36" s="303"/>
      <c r="G36" s="304"/>
      <c r="H36" s="305"/>
      <c r="I36" s="306"/>
      <c r="J36" s="304"/>
      <c r="K36" s="306"/>
      <c r="L36" s="100"/>
      <c r="M36" s="100"/>
      <c r="N36" s="100"/>
      <c r="O36" s="100"/>
      <c r="P36" s="100"/>
      <c r="Q36" s="100"/>
      <c r="R36" s="100"/>
      <c r="S36" s="100"/>
      <c r="T36" s="100"/>
      <c r="U36" s="301"/>
      <c r="V36" s="302"/>
      <c r="W36" s="302"/>
      <c r="X36" s="303"/>
      <c r="Y36" s="98"/>
      <c r="Z36" s="106">
        <f t="shared" si="0"/>
        <v>0</v>
      </c>
      <c r="AA36" s="105">
        <f t="shared" si="1"/>
        <v>0</v>
      </c>
      <c r="AB36" s="105">
        <f t="shared" si="2"/>
        <v>0</v>
      </c>
    </row>
    <row r="37" spans="1:28" x14ac:dyDescent="0.15">
      <c r="A37" s="101"/>
      <c r="B37" s="99">
        <f t="shared" si="3"/>
        <v>30</v>
      </c>
      <c r="C37" s="301"/>
      <c r="D37" s="302"/>
      <c r="E37" s="302"/>
      <c r="F37" s="303"/>
      <c r="G37" s="304"/>
      <c r="H37" s="305"/>
      <c r="I37" s="306"/>
      <c r="J37" s="304"/>
      <c r="K37" s="306"/>
      <c r="L37" s="100"/>
      <c r="M37" s="100"/>
      <c r="N37" s="100"/>
      <c r="O37" s="100"/>
      <c r="P37" s="100"/>
      <c r="Q37" s="100"/>
      <c r="R37" s="100"/>
      <c r="S37" s="100"/>
      <c r="T37" s="100"/>
      <c r="U37" s="301"/>
      <c r="V37" s="302"/>
      <c r="W37" s="302"/>
      <c r="X37" s="303"/>
      <c r="Y37" s="98"/>
      <c r="Z37" s="106">
        <f t="shared" si="0"/>
        <v>0</v>
      </c>
      <c r="AA37" s="105">
        <f t="shared" si="1"/>
        <v>0</v>
      </c>
      <c r="AB37" s="105">
        <f t="shared" si="2"/>
        <v>0</v>
      </c>
    </row>
    <row r="38" spans="1:28" x14ac:dyDescent="0.15">
      <c r="A38" s="101"/>
      <c r="B38" s="298" t="s">
        <v>122</v>
      </c>
      <c r="C38" s="299"/>
      <c r="D38" s="299"/>
      <c r="E38" s="299"/>
      <c r="F38" s="299"/>
      <c r="G38" s="299"/>
      <c r="H38" s="299"/>
      <c r="I38" s="299"/>
      <c r="J38" s="299"/>
      <c r="K38" s="299"/>
      <c r="L38" s="299"/>
      <c r="M38" s="299"/>
      <c r="N38" s="299"/>
      <c r="O38" s="299"/>
      <c r="P38" s="299"/>
      <c r="Q38" s="299"/>
      <c r="R38" s="299"/>
      <c r="S38" s="299"/>
      <c r="T38" s="299"/>
      <c r="U38" s="299"/>
      <c r="V38" s="299"/>
      <c r="W38" s="299"/>
      <c r="X38" s="300"/>
      <c r="Y38" s="98"/>
      <c r="Z38" s="92"/>
    </row>
    <row r="39" spans="1:28" x14ac:dyDescent="0.15">
      <c r="A39" s="101"/>
      <c r="B39" s="101" t="s">
        <v>257</v>
      </c>
      <c r="C39" s="92"/>
      <c r="D39" s="92"/>
      <c r="E39" s="92"/>
      <c r="F39" s="92"/>
      <c r="G39" s="92"/>
      <c r="H39" s="92"/>
      <c r="I39" s="92"/>
      <c r="J39" s="92"/>
      <c r="K39" s="92"/>
      <c r="L39" s="92"/>
      <c r="M39" s="92"/>
      <c r="N39" s="92"/>
      <c r="O39" s="92"/>
      <c r="P39" s="92"/>
      <c r="Q39" s="92"/>
      <c r="R39" s="92"/>
      <c r="S39" s="92"/>
      <c r="T39" s="92"/>
      <c r="U39" s="92"/>
      <c r="V39" s="92"/>
      <c r="W39" s="92"/>
      <c r="X39" s="98"/>
      <c r="Y39" s="98"/>
      <c r="Z39" s="92"/>
    </row>
    <row r="40" spans="1:28" x14ac:dyDescent="0.15">
      <c r="A40" s="101"/>
      <c r="B40" s="101"/>
      <c r="C40" s="92"/>
      <c r="D40" s="92"/>
      <c r="E40" s="92"/>
      <c r="F40" s="92"/>
      <c r="G40" s="92"/>
      <c r="H40" s="92"/>
      <c r="I40" s="92"/>
      <c r="J40" s="92"/>
      <c r="K40" s="92"/>
      <c r="L40" s="92"/>
      <c r="M40" s="92"/>
      <c r="N40" s="92"/>
      <c r="O40" s="92"/>
      <c r="P40" s="92"/>
      <c r="Q40" s="92"/>
      <c r="R40" s="92"/>
      <c r="S40" s="92"/>
      <c r="T40" s="92"/>
      <c r="U40" s="92"/>
      <c r="V40" s="92"/>
      <c r="W40" s="92"/>
      <c r="X40" s="98"/>
      <c r="Y40" s="98"/>
      <c r="Z40" s="92"/>
    </row>
    <row r="41" spans="1:28" x14ac:dyDescent="0.15">
      <c r="A41" s="101"/>
      <c r="B41" s="101"/>
      <c r="C41" s="92"/>
      <c r="D41" s="92"/>
      <c r="E41" s="92"/>
      <c r="F41" s="92"/>
      <c r="G41" s="92"/>
      <c r="H41" s="92"/>
      <c r="I41" s="92"/>
      <c r="J41" s="92"/>
      <c r="K41" s="92"/>
      <c r="L41" s="92"/>
      <c r="M41" s="92"/>
      <c r="N41" s="92"/>
      <c r="O41" s="92"/>
      <c r="P41" s="92"/>
      <c r="Q41" s="92"/>
      <c r="R41" s="92"/>
      <c r="S41" s="92"/>
      <c r="T41" s="92"/>
      <c r="U41" s="92"/>
      <c r="V41" s="92"/>
      <c r="W41" s="92"/>
      <c r="X41" s="98"/>
      <c r="Y41" s="98"/>
      <c r="Z41" s="92"/>
    </row>
    <row r="42" spans="1:28" x14ac:dyDescent="0.15">
      <c r="A42" s="101"/>
      <c r="B42" s="102"/>
      <c r="C42" s="93"/>
      <c r="D42" s="93"/>
      <c r="E42" s="93"/>
      <c r="F42" s="93"/>
      <c r="G42" s="93"/>
      <c r="H42" s="93"/>
      <c r="I42" s="93"/>
      <c r="J42" s="93"/>
      <c r="K42" s="93"/>
      <c r="L42" s="93"/>
      <c r="M42" s="93"/>
      <c r="N42" s="93"/>
      <c r="O42" s="93"/>
      <c r="P42" s="93"/>
      <c r="Q42" s="93"/>
      <c r="R42" s="93"/>
      <c r="S42" s="93"/>
      <c r="T42" s="93"/>
      <c r="U42" s="93"/>
      <c r="V42" s="93"/>
      <c r="W42" s="93"/>
      <c r="X42" s="103"/>
      <c r="Y42" s="98"/>
      <c r="Z42" s="92"/>
    </row>
    <row r="43" spans="1:28" x14ac:dyDescent="0.15">
      <c r="A43" s="102"/>
      <c r="B43" s="93"/>
      <c r="C43" s="93"/>
      <c r="D43" s="93"/>
      <c r="E43" s="93"/>
      <c r="F43" s="93"/>
      <c r="G43" s="93"/>
      <c r="H43" s="93"/>
      <c r="I43" s="93"/>
      <c r="J43" s="93"/>
      <c r="K43" s="93"/>
      <c r="L43" s="93"/>
      <c r="M43" s="93"/>
      <c r="N43" s="93"/>
      <c r="O43" s="93"/>
      <c r="P43" s="93"/>
      <c r="Q43" s="93"/>
      <c r="R43" s="93"/>
      <c r="S43" s="93"/>
      <c r="T43" s="93"/>
      <c r="U43" s="93"/>
      <c r="V43" s="93"/>
      <c r="W43" s="93"/>
      <c r="X43" s="93"/>
      <c r="Y43" s="103"/>
      <c r="Z43" s="92"/>
    </row>
  </sheetData>
  <mergeCells count="138">
    <mergeCell ref="W2:Y3"/>
    <mergeCell ref="A3:B3"/>
    <mergeCell ref="G3:I3"/>
    <mergeCell ref="C7:F7"/>
    <mergeCell ref="G7:I7"/>
    <mergeCell ref="J7:K7"/>
    <mergeCell ref="U7:X7"/>
    <mergeCell ref="A1:F2"/>
    <mergeCell ref="G1:I1"/>
    <mergeCell ref="P1:Q1"/>
    <mergeCell ref="R1:T1"/>
    <mergeCell ref="U1:V1"/>
    <mergeCell ref="W1:Y1"/>
    <mergeCell ref="G2:I2"/>
    <mergeCell ref="P2:Q3"/>
    <mergeCell ref="R2:T3"/>
    <mergeCell ref="U2:V3"/>
    <mergeCell ref="C10:F10"/>
    <mergeCell ref="G10:I10"/>
    <mergeCell ref="J10:K10"/>
    <mergeCell ref="U10:X10"/>
    <mergeCell ref="C11:F11"/>
    <mergeCell ref="G11:I11"/>
    <mergeCell ref="J11:K11"/>
    <mergeCell ref="U11:X11"/>
    <mergeCell ref="C8:F8"/>
    <mergeCell ref="G8:I8"/>
    <mergeCell ref="J8:K8"/>
    <mergeCell ref="U8:X8"/>
    <mergeCell ref="C9:F9"/>
    <mergeCell ref="G9:I9"/>
    <mergeCell ref="J9:K9"/>
    <mergeCell ref="U9:X9"/>
    <mergeCell ref="C14:F14"/>
    <mergeCell ref="G14:I14"/>
    <mergeCell ref="J14:K14"/>
    <mergeCell ref="U14:X14"/>
    <mergeCell ref="C15:F15"/>
    <mergeCell ref="G15:I15"/>
    <mergeCell ref="J15:K15"/>
    <mergeCell ref="U15:X15"/>
    <mergeCell ref="C12:F12"/>
    <mergeCell ref="G12:I12"/>
    <mergeCell ref="J12:K12"/>
    <mergeCell ref="U12:X12"/>
    <mergeCell ref="C13:F13"/>
    <mergeCell ref="G13:I13"/>
    <mergeCell ref="J13:K13"/>
    <mergeCell ref="U13:X13"/>
    <mergeCell ref="C18:F18"/>
    <mergeCell ref="G18:I18"/>
    <mergeCell ref="J18:K18"/>
    <mergeCell ref="U18:X18"/>
    <mergeCell ref="C19:F19"/>
    <mergeCell ref="G19:I19"/>
    <mergeCell ref="J19:K19"/>
    <mergeCell ref="U19:X19"/>
    <mergeCell ref="C16:F16"/>
    <mergeCell ref="G16:I16"/>
    <mergeCell ref="J16:K16"/>
    <mergeCell ref="U16:X16"/>
    <mergeCell ref="C17:F17"/>
    <mergeCell ref="G17:I17"/>
    <mergeCell ref="J17:K17"/>
    <mergeCell ref="U17:X17"/>
    <mergeCell ref="C22:F22"/>
    <mergeCell ref="G22:I22"/>
    <mergeCell ref="J22:K22"/>
    <mergeCell ref="U22:X22"/>
    <mergeCell ref="C23:F23"/>
    <mergeCell ref="G23:I23"/>
    <mergeCell ref="J23:K23"/>
    <mergeCell ref="U23:X23"/>
    <mergeCell ref="C20:F20"/>
    <mergeCell ref="G20:I20"/>
    <mergeCell ref="J20:K20"/>
    <mergeCell ref="U20:X20"/>
    <mergeCell ref="C21:F21"/>
    <mergeCell ref="G21:I21"/>
    <mergeCell ref="J21:K21"/>
    <mergeCell ref="U21:X21"/>
    <mergeCell ref="C26:F26"/>
    <mergeCell ref="G26:I26"/>
    <mergeCell ref="J26:K26"/>
    <mergeCell ref="U26:X26"/>
    <mergeCell ref="C27:F27"/>
    <mergeCell ref="G27:I27"/>
    <mergeCell ref="J27:K27"/>
    <mergeCell ref="U27:X27"/>
    <mergeCell ref="C24:F24"/>
    <mergeCell ref="G24:I24"/>
    <mergeCell ref="J24:K24"/>
    <mergeCell ref="U24:X24"/>
    <mergeCell ref="C25:F25"/>
    <mergeCell ref="G25:I25"/>
    <mergeCell ref="J25:K25"/>
    <mergeCell ref="U25:X25"/>
    <mergeCell ref="C30:F30"/>
    <mergeCell ref="G30:I30"/>
    <mergeCell ref="J30:K30"/>
    <mergeCell ref="U30:X30"/>
    <mergeCell ref="C31:F31"/>
    <mergeCell ref="G31:I31"/>
    <mergeCell ref="J31:K31"/>
    <mergeCell ref="U31:X31"/>
    <mergeCell ref="C28:F28"/>
    <mergeCell ref="G28:I28"/>
    <mergeCell ref="J28:K28"/>
    <mergeCell ref="U28:X28"/>
    <mergeCell ref="C29:F29"/>
    <mergeCell ref="G29:I29"/>
    <mergeCell ref="J29:K29"/>
    <mergeCell ref="U29:X29"/>
    <mergeCell ref="C34:F34"/>
    <mergeCell ref="G34:I34"/>
    <mergeCell ref="J34:K34"/>
    <mergeCell ref="U34:X34"/>
    <mergeCell ref="C35:F35"/>
    <mergeCell ref="G35:I35"/>
    <mergeCell ref="J35:K35"/>
    <mergeCell ref="U35:X35"/>
    <mergeCell ref="C32:F32"/>
    <mergeCell ref="G32:I32"/>
    <mergeCell ref="J32:K32"/>
    <mergeCell ref="U32:X32"/>
    <mergeCell ref="C33:F33"/>
    <mergeCell ref="G33:I33"/>
    <mergeCell ref="J33:K33"/>
    <mergeCell ref="U33:X33"/>
    <mergeCell ref="B38:X38"/>
    <mergeCell ref="C36:F36"/>
    <mergeCell ref="G36:I36"/>
    <mergeCell ref="J36:K36"/>
    <mergeCell ref="U36:X36"/>
    <mergeCell ref="C37:F37"/>
    <mergeCell ref="G37:I37"/>
    <mergeCell ref="J37:K37"/>
    <mergeCell ref="U37:X37"/>
  </mergeCells>
  <phoneticPr fontId="1"/>
  <conditionalFormatting sqref="J24:K37">
    <cfRule type="expression" dxfId="704" priority="115">
      <formula>ISERROR(AB24)</formula>
    </cfRule>
    <cfRule type="expression" dxfId="703" priority="116">
      <formula>ISBLANK(AB24)</formula>
    </cfRule>
    <cfRule type="expression" dxfId="702" priority="117">
      <formula>AND(J24&lt;&gt;"",AB24&lt;=0)</formula>
    </cfRule>
  </conditionalFormatting>
  <conditionalFormatting sqref="J8:K8">
    <cfRule type="expression" dxfId="701" priority="112">
      <formula>ISERROR(AB8)</formula>
    </cfRule>
    <cfRule type="expression" dxfId="700" priority="113">
      <formula>ISBLANK(AB8)</formula>
    </cfRule>
    <cfRule type="expression" dxfId="699" priority="114">
      <formula>AND(J8&lt;&gt;"",AB8&lt;=0)</formula>
    </cfRule>
  </conditionalFormatting>
  <conditionalFormatting sqref="J18:K18">
    <cfRule type="expression" dxfId="698" priority="46">
      <formula>ISERROR(AB18)</formula>
    </cfRule>
    <cfRule type="expression" dxfId="697" priority="47">
      <formula>ISBLANK(AB18)</formula>
    </cfRule>
    <cfRule type="expression" dxfId="696" priority="48">
      <formula>AND(J18&lt;&gt;"",AB18&lt;=0)</formula>
    </cfRule>
  </conditionalFormatting>
  <conditionalFormatting sqref="J20:K20">
    <cfRule type="expression" dxfId="695" priority="76">
      <formula>ISERROR(AB20)</formula>
    </cfRule>
    <cfRule type="expression" dxfId="694" priority="77">
      <formula>ISBLANK(AB20)</formula>
    </cfRule>
    <cfRule type="expression" dxfId="693" priority="78">
      <formula>AND(J20&lt;&gt;"",AB20&lt;=0)</formula>
    </cfRule>
  </conditionalFormatting>
  <conditionalFormatting sqref="J17:K17">
    <cfRule type="expression" dxfId="692" priority="49">
      <formula>ISERROR(AB17)</formula>
    </cfRule>
    <cfRule type="expression" dxfId="691" priority="50">
      <formula>ISBLANK(AB17)</formula>
    </cfRule>
    <cfRule type="expression" dxfId="690" priority="51">
      <formula>AND(J17&lt;&gt;"",AB17&lt;=0)</formula>
    </cfRule>
  </conditionalFormatting>
  <conditionalFormatting sqref="J19:K19">
    <cfRule type="expression" dxfId="689" priority="79">
      <formula>ISERROR(AB19)</formula>
    </cfRule>
    <cfRule type="expression" dxfId="688" priority="80">
      <formula>ISBLANK(AB19)</formula>
    </cfRule>
    <cfRule type="expression" dxfId="687" priority="81">
      <formula>AND(J19&lt;&gt;"",AB19&lt;=0)</formula>
    </cfRule>
  </conditionalFormatting>
  <conditionalFormatting sqref="J13:K13">
    <cfRule type="expression" dxfId="686" priority="13">
      <formula>ISERROR(AB13)</formula>
    </cfRule>
    <cfRule type="expression" dxfId="685" priority="14">
      <formula>ISBLANK(AB13)</formula>
    </cfRule>
    <cfRule type="expression" dxfId="684" priority="15">
      <formula>AND(J13&lt;&gt;"",AB13&lt;=0)</formula>
    </cfRule>
  </conditionalFormatting>
  <conditionalFormatting sqref="J9:K9">
    <cfRule type="expression" dxfId="683" priority="40">
      <formula>ISERROR(AB9)</formula>
    </cfRule>
    <cfRule type="expression" dxfId="682" priority="41">
      <formula>ISBLANK(AB9)</formula>
    </cfRule>
    <cfRule type="expression" dxfId="681" priority="42">
      <formula>AND(J9&lt;&gt;"",AB9&lt;=0)</formula>
    </cfRule>
  </conditionalFormatting>
  <conditionalFormatting sqref="J10:K10">
    <cfRule type="expression" dxfId="680" priority="37">
      <formula>ISERROR(AB10)</formula>
    </cfRule>
    <cfRule type="expression" dxfId="679" priority="38">
      <formula>ISBLANK(AB10)</formula>
    </cfRule>
    <cfRule type="expression" dxfId="678" priority="39">
      <formula>AND(J10&lt;&gt;"",AB10&lt;=0)</formula>
    </cfRule>
  </conditionalFormatting>
  <conditionalFormatting sqref="J14:K14">
    <cfRule type="expression" dxfId="677" priority="7">
      <formula>ISERROR(AB14)</formula>
    </cfRule>
    <cfRule type="expression" dxfId="676" priority="8">
      <formula>ISBLANK(AB14)</formula>
    </cfRule>
    <cfRule type="expression" dxfId="675" priority="9">
      <formula>AND(J14&lt;&gt;"",AB14&lt;=0)</formula>
    </cfRule>
  </conditionalFormatting>
  <conditionalFormatting sqref="J23:K23">
    <cfRule type="expression" dxfId="674" priority="22">
      <formula>ISERROR(AB23)</formula>
    </cfRule>
    <cfRule type="expression" dxfId="673" priority="23">
      <formula>ISBLANK(AB23)</formula>
    </cfRule>
    <cfRule type="expression" dxfId="672" priority="24">
      <formula>AND(J23&lt;&gt;"",AB23&lt;=0)</formula>
    </cfRule>
  </conditionalFormatting>
  <conditionalFormatting sqref="J21:K21">
    <cfRule type="expression" dxfId="671" priority="25">
      <formula>ISERROR(AB21)</formula>
    </cfRule>
    <cfRule type="expression" dxfId="670" priority="26">
      <formula>ISBLANK(AB21)</formula>
    </cfRule>
    <cfRule type="expression" dxfId="669" priority="27">
      <formula>AND(J21&lt;&gt;"",AB21&lt;=0)</formula>
    </cfRule>
  </conditionalFormatting>
  <conditionalFormatting sqref="J22:K22">
    <cfRule type="expression" dxfId="668" priority="19">
      <formula>ISERROR(AB22)</formula>
    </cfRule>
    <cfRule type="expression" dxfId="667" priority="20">
      <formula>ISBLANK(AB22)</formula>
    </cfRule>
    <cfRule type="expression" dxfId="666" priority="21">
      <formula>AND(J22&lt;&gt;"",AB22&lt;=0)</formula>
    </cfRule>
  </conditionalFormatting>
  <conditionalFormatting sqref="J11:K11">
    <cfRule type="expression" dxfId="665" priority="16">
      <formula>ISERROR(AB11)</formula>
    </cfRule>
    <cfRule type="expression" dxfId="664" priority="17">
      <formula>ISBLANK(AB11)</formula>
    </cfRule>
    <cfRule type="expression" dxfId="663" priority="18">
      <formula>AND(J11&lt;&gt;"",AB11&lt;=0)</formula>
    </cfRule>
  </conditionalFormatting>
  <conditionalFormatting sqref="J12:K12">
    <cfRule type="expression" dxfId="662" priority="10">
      <formula>ISERROR(AB12)</formula>
    </cfRule>
    <cfRule type="expression" dxfId="661" priority="11">
      <formula>ISBLANK(AB12)</formula>
    </cfRule>
    <cfRule type="expression" dxfId="660" priority="12">
      <formula>AND(J12&lt;&gt;"",AB12&lt;=0)</formula>
    </cfRule>
  </conditionalFormatting>
  <conditionalFormatting sqref="J15:K15">
    <cfRule type="expression" dxfId="659" priority="4">
      <formula>ISERROR(AB15)</formula>
    </cfRule>
    <cfRule type="expression" dxfId="658" priority="5">
      <formula>ISBLANK(AB15)</formula>
    </cfRule>
    <cfRule type="expression" dxfId="657" priority="6">
      <formula>AND(J15&lt;&gt;"",AB15&lt;=0)</formula>
    </cfRule>
  </conditionalFormatting>
  <conditionalFormatting sqref="J16:K16">
    <cfRule type="expression" dxfId="656" priority="1">
      <formula>ISERROR(AB16)</formula>
    </cfRule>
    <cfRule type="expression" dxfId="655" priority="2">
      <formula>ISBLANK(AB16)</formula>
    </cfRule>
    <cfRule type="expression" dxfId="654" priority="3">
      <formula>AND(J16&lt;&gt;"",AB16&lt;=0)</formula>
    </cfRule>
  </conditionalFormatting>
  <printOptions horizontalCentered="1"/>
  <pageMargins left="0.23622047244094491" right="0.23622047244094491" top="0.39370078740157483" bottom="0.39370078740157483" header="0" footer="0"/>
  <pageSetup paperSize="9" fitToHeight="0" orientation="landscape" r:id="rId1"/>
  <headerFooter alignWithMargins="0">
    <oddFooter>&amp;L&amp;F&amp;R&amp;P / &amp;N</oddFooter>
  </headerFooter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F5556-16F4-4D88-A8B7-EF0635468784}">
  <sheetPr codeName="Sheet40"/>
  <dimension ref="A1:AE43"/>
  <sheetViews>
    <sheetView showGridLines="0" view="pageBreakPreview" zoomScaleNormal="85" zoomScaleSheetLayoutView="100" workbookViewId="0">
      <selection activeCell="C11" sqref="C11:F11"/>
    </sheetView>
  </sheetViews>
  <sheetFormatPr defaultColWidth="5.625" defaultRowHeight="13.5" x14ac:dyDescent="0.15"/>
  <cols>
    <col min="1" max="16" width="5.625" style="12" customWidth="1"/>
    <col min="17" max="25" width="5.625" style="12"/>
    <col min="26" max="26" width="12.75" style="96" bestFit="1" customWidth="1"/>
    <col min="27" max="27" width="12.75" style="12" bestFit="1" customWidth="1"/>
    <col min="28" max="28" width="18.375" style="12" bestFit="1" customWidth="1"/>
    <col min="29" max="238" width="5.625" style="12"/>
    <col min="239" max="254" width="5.625" style="12" customWidth="1"/>
    <col min="255" max="494" width="5.625" style="12"/>
    <col min="495" max="510" width="5.625" style="12" customWidth="1"/>
    <col min="511" max="750" width="5.625" style="12"/>
    <col min="751" max="766" width="5.625" style="12" customWidth="1"/>
    <col min="767" max="1006" width="5.625" style="12"/>
    <col min="1007" max="1022" width="5.625" style="12" customWidth="1"/>
    <col min="1023" max="1262" width="5.625" style="12"/>
    <col min="1263" max="1278" width="5.625" style="12" customWidth="1"/>
    <col min="1279" max="1518" width="5.625" style="12"/>
    <col min="1519" max="1534" width="5.625" style="12" customWidth="1"/>
    <col min="1535" max="1774" width="5.625" style="12"/>
    <col min="1775" max="1790" width="5.625" style="12" customWidth="1"/>
    <col min="1791" max="2030" width="5.625" style="12"/>
    <col min="2031" max="2046" width="5.625" style="12" customWidth="1"/>
    <col min="2047" max="2286" width="5.625" style="12"/>
    <col min="2287" max="2302" width="5.625" style="12" customWidth="1"/>
    <col min="2303" max="2542" width="5.625" style="12"/>
    <col min="2543" max="2558" width="5.625" style="12" customWidth="1"/>
    <col min="2559" max="2798" width="5.625" style="12"/>
    <col min="2799" max="2814" width="5.625" style="12" customWidth="1"/>
    <col min="2815" max="3054" width="5.625" style="12"/>
    <col min="3055" max="3070" width="5.625" style="12" customWidth="1"/>
    <col min="3071" max="3310" width="5.625" style="12"/>
    <col min="3311" max="3326" width="5.625" style="12" customWidth="1"/>
    <col min="3327" max="3566" width="5.625" style="12"/>
    <col min="3567" max="3582" width="5.625" style="12" customWidth="1"/>
    <col min="3583" max="3822" width="5.625" style="12"/>
    <col min="3823" max="3838" width="5.625" style="12" customWidth="1"/>
    <col min="3839" max="4078" width="5.625" style="12"/>
    <col min="4079" max="4094" width="5.625" style="12" customWidth="1"/>
    <col min="4095" max="4334" width="5.625" style="12"/>
    <col min="4335" max="4350" width="5.625" style="12" customWidth="1"/>
    <col min="4351" max="4590" width="5.625" style="12"/>
    <col min="4591" max="4606" width="5.625" style="12" customWidth="1"/>
    <col min="4607" max="4846" width="5.625" style="12"/>
    <col min="4847" max="4862" width="5.625" style="12" customWidth="1"/>
    <col min="4863" max="5102" width="5.625" style="12"/>
    <col min="5103" max="5118" width="5.625" style="12" customWidth="1"/>
    <col min="5119" max="5358" width="5.625" style="12"/>
    <col min="5359" max="5374" width="5.625" style="12" customWidth="1"/>
    <col min="5375" max="5614" width="5.625" style="12"/>
    <col min="5615" max="5630" width="5.625" style="12" customWidth="1"/>
    <col min="5631" max="5870" width="5.625" style="12"/>
    <col min="5871" max="5886" width="5.625" style="12" customWidth="1"/>
    <col min="5887" max="6126" width="5.625" style="12"/>
    <col min="6127" max="6142" width="5.625" style="12" customWidth="1"/>
    <col min="6143" max="6382" width="5.625" style="12"/>
    <col min="6383" max="6398" width="5.625" style="12" customWidth="1"/>
    <col min="6399" max="6638" width="5.625" style="12"/>
    <col min="6639" max="6654" width="5.625" style="12" customWidth="1"/>
    <col min="6655" max="6894" width="5.625" style="12"/>
    <col min="6895" max="6910" width="5.625" style="12" customWidth="1"/>
    <col min="6911" max="7150" width="5.625" style="12"/>
    <col min="7151" max="7166" width="5.625" style="12" customWidth="1"/>
    <col min="7167" max="7406" width="5.625" style="12"/>
    <col min="7407" max="7422" width="5.625" style="12" customWidth="1"/>
    <col min="7423" max="7662" width="5.625" style="12"/>
    <col min="7663" max="7678" width="5.625" style="12" customWidth="1"/>
    <col min="7679" max="7918" width="5.625" style="12"/>
    <col min="7919" max="7934" width="5.625" style="12" customWidth="1"/>
    <col min="7935" max="8174" width="5.625" style="12"/>
    <col min="8175" max="8190" width="5.625" style="12" customWidth="1"/>
    <col min="8191" max="8430" width="5.625" style="12"/>
    <col min="8431" max="8446" width="5.625" style="12" customWidth="1"/>
    <col min="8447" max="8686" width="5.625" style="12"/>
    <col min="8687" max="8702" width="5.625" style="12" customWidth="1"/>
    <col min="8703" max="8942" width="5.625" style="12"/>
    <col min="8943" max="8958" width="5.625" style="12" customWidth="1"/>
    <col min="8959" max="9198" width="5.625" style="12"/>
    <col min="9199" max="9214" width="5.625" style="12" customWidth="1"/>
    <col min="9215" max="9454" width="5.625" style="12"/>
    <col min="9455" max="9470" width="5.625" style="12" customWidth="1"/>
    <col min="9471" max="9710" width="5.625" style="12"/>
    <col min="9711" max="9726" width="5.625" style="12" customWidth="1"/>
    <col min="9727" max="9966" width="5.625" style="12"/>
    <col min="9967" max="9982" width="5.625" style="12" customWidth="1"/>
    <col min="9983" max="10222" width="5.625" style="12"/>
    <col min="10223" max="10238" width="5.625" style="12" customWidth="1"/>
    <col min="10239" max="10478" width="5.625" style="12"/>
    <col min="10479" max="10494" width="5.625" style="12" customWidth="1"/>
    <col min="10495" max="10734" width="5.625" style="12"/>
    <col min="10735" max="10750" width="5.625" style="12" customWidth="1"/>
    <col min="10751" max="10990" width="5.625" style="12"/>
    <col min="10991" max="11006" width="5.625" style="12" customWidth="1"/>
    <col min="11007" max="11246" width="5.625" style="12"/>
    <col min="11247" max="11262" width="5.625" style="12" customWidth="1"/>
    <col min="11263" max="11502" width="5.625" style="12"/>
    <col min="11503" max="11518" width="5.625" style="12" customWidth="1"/>
    <col min="11519" max="11758" width="5.625" style="12"/>
    <col min="11759" max="11774" width="5.625" style="12" customWidth="1"/>
    <col min="11775" max="12014" width="5.625" style="12"/>
    <col min="12015" max="12030" width="5.625" style="12" customWidth="1"/>
    <col min="12031" max="12270" width="5.625" style="12"/>
    <col min="12271" max="12286" width="5.625" style="12" customWidth="1"/>
    <col min="12287" max="12526" width="5.625" style="12"/>
    <col min="12527" max="12542" width="5.625" style="12" customWidth="1"/>
    <col min="12543" max="12782" width="5.625" style="12"/>
    <col min="12783" max="12798" width="5.625" style="12" customWidth="1"/>
    <col min="12799" max="13038" width="5.625" style="12"/>
    <col min="13039" max="13054" width="5.625" style="12" customWidth="1"/>
    <col min="13055" max="13294" width="5.625" style="12"/>
    <col min="13295" max="13310" width="5.625" style="12" customWidth="1"/>
    <col min="13311" max="13550" width="5.625" style="12"/>
    <col min="13551" max="13566" width="5.625" style="12" customWidth="1"/>
    <col min="13567" max="13806" width="5.625" style="12"/>
    <col min="13807" max="13822" width="5.625" style="12" customWidth="1"/>
    <col min="13823" max="14062" width="5.625" style="12"/>
    <col min="14063" max="14078" width="5.625" style="12" customWidth="1"/>
    <col min="14079" max="14318" width="5.625" style="12"/>
    <col min="14319" max="14334" width="5.625" style="12" customWidth="1"/>
    <col min="14335" max="14574" width="5.625" style="12"/>
    <col min="14575" max="14590" width="5.625" style="12" customWidth="1"/>
    <col min="14591" max="14830" width="5.625" style="12"/>
    <col min="14831" max="14846" width="5.625" style="12" customWidth="1"/>
    <col min="14847" max="15086" width="5.625" style="12"/>
    <col min="15087" max="15102" width="5.625" style="12" customWidth="1"/>
    <col min="15103" max="15342" width="5.625" style="12"/>
    <col min="15343" max="15358" width="5.625" style="12" customWidth="1"/>
    <col min="15359" max="15598" width="5.625" style="12"/>
    <col min="15599" max="15614" width="5.625" style="12" customWidth="1"/>
    <col min="15615" max="15854" width="5.625" style="12"/>
    <col min="15855" max="15870" width="5.625" style="12" customWidth="1"/>
    <col min="15871" max="16110" width="5.625" style="12"/>
    <col min="16111" max="16126" width="5.625" style="12" customWidth="1"/>
    <col min="16127" max="16384" width="5.625" style="12"/>
  </cols>
  <sheetData>
    <row r="1" spans="1:31" ht="13.5" customHeight="1" x14ac:dyDescent="0.15">
      <c r="A1" s="260" t="s">
        <v>81</v>
      </c>
      <c r="B1" s="261"/>
      <c r="C1" s="261"/>
      <c r="D1" s="261"/>
      <c r="E1" s="261"/>
      <c r="F1" s="262"/>
      <c r="G1" s="311" t="s">
        <v>5</v>
      </c>
      <c r="H1" s="312"/>
      <c r="I1" s="313"/>
      <c r="J1" s="21"/>
      <c r="K1" s="94"/>
      <c r="L1" s="94"/>
      <c r="M1" s="94"/>
      <c r="N1" s="94"/>
      <c r="O1" s="94"/>
      <c r="P1" s="311" t="s">
        <v>8</v>
      </c>
      <c r="Q1" s="313"/>
      <c r="R1" s="311" t="s">
        <v>7</v>
      </c>
      <c r="S1" s="312"/>
      <c r="T1" s="313"/>
      <c r="U1" s="311" t="s">
        <v>9</v>
      </c>
      <c r="V1" s="313"/>
      <c r="W1" s="311" t="s">
        <v>10</v>
      </c>
      <c r="X1" s="312"/>
      <c r="Y1" s="313"/>
      <c r="Z1" s="107"/>
      <c r="AA1" s="12" t="s">
        <v>128</v>
      </c>
      <c r="AE1" s="12" t="s">
        <v>124</v>
      </c>
    </row>
    <row r="2" spans="1:31" ht="13.5" customHeight="1" x14ac:dyDescent="0.15">
      <c r="A2" s="266"/>
      <c r="B2" s="267"/>
      <c r="C2" s="267"/>
      <c r="D2" s="267"/>
      <c r="E2" s="267"/>
      <c r="F2" s="268"/>
      <c r="G2" s="311" t="s">
        <v>6</v>
      </c>
      <c r="H2" s="312"/>
      <c r="I2" s="313"/>
      <c r="J2" s="21"/>
      <c r="K2" s="95"/>
      <c r="L2" s="95"/>
      <c r="M2" s="95"/>
      <c r="N2" s="95"/>
      <c r="O2" s="95"/>
      <c r="P2" s="246"/>
      <c r="Q2" s="247"/>
      <c r="R2" s="273"/>
      <c r="S2" s="274"/>
      <c r="T2" s="275"/>
      <c r="U2" s="246"/>
      <c r="V2" s="247"/>
      <c r="W2" s="273"/>
      <c r="X2" s="274"/>
      <c r="Y2" s="275"/>
      <c r="Z2" s="107"/>
      <c r="AA2" s="12">
        <f>SUM(AB:AB)</f>
        <v>138</v>
      </c>
    </row>
    <row r="3" spans="1:31" ht="13.5" customHeight="1" x14ac:dyDescent="0.15">
      <c r="A3" s="311" t="s">
        <v>82</v>
      </c>
      <c r="B3" s="312"/>
      <c r="C3" s="21" t="str">
        <f ca="1">RIGHT(CELL("filename",A2),LEN(CELL("filename",A2))-FIND("]",CELL("filename",A2)))</f>
        <v>業務ｽﾍﾟｼｬﾘｽﾄﾏｽﾀ</v>
      </c>
      <c r="D3" s="95"/>
      <c r="E3" s="95"/>
      <c r="F3" s="95"/>
      <c r="G3" s="311" t="s">
        <v>83</v>
      </c>
      <c r="H3" s="312"/>
      <c r="I3" s="313"/>
      <c r="J3" s="21" t="s">
        <v>239</v>
      </c>
      <c r="K3" s="95"/>
      <c r="L3" s="95"/>
      <c r="M3" s="95"/>
      <c r="N3" s="95"/>
      <c r="O3" s="95"/>
      <c r="P3" s="248"/>
      <c r="Q3" s="249"/>
      <c r="R3" s="276"/>
      <c r="S3" s="277"/>
      <c r="T3" s="278"/>
      <c r="U3" s="248"/>
      <c r="V3" s="249"/>
      <c r="W3" s="276"/>
      <c r="X3" s="277"/>
      <c r="Y3" s="278"/>
      <c r="Z3" s="107"/>
    </row>
    <row r="4" spans="1:31" x14ac:dyDescent="0.15">
      <c r="A4" s="86"/>
      <c r="B4" s="18"/>
      <c r="C4" s="18"/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  <c r="O4" s="18"/>
      <c r="P4" s="18"/>
      <c r="Q4" s="18"/>
      <c r="R4" s="18"/>
      <c r="S4" s="18"/>
      <c r="T4" s="18"/>
      <c r="U4" s="18"/>
      <c r="V4" s="18"/>
      <c r="W4" s="18"/>
      <c r="X4" s="18"/>
      <c r="Y4" s="18"/>
      <c r="Z4" s="92"/>
    </row>
    <row r="5" spans="1:31" ht="13.5" customHeight="1" x14ac:dyDescent="0.15">
      <c r="A5" s="83" t="s">
        <v>93</v>
      </c>
      <c r="B5" s="84"/>
      <c r="C5" s="84"/>
      <c r="D5" s="84"/>
      <c r="E5" s="84"/>
      <c r="F5" s="84"/>
      <c r="G5" s="84"/>
      <c r="H5" s="84"/>
      <c r="I5" s="84"/>
      <c r="J5" s="84"/>
      <c r="K5" s="84"/>
      <c r="L5" s="84"/>
      <c r="M5" s="84"/>
      <c r="N5" s="84"/>
      <c r="O5" s="84"/>
      <c r="P5" s="84"/>
      <c r="Q5" s="84"/>
      <c r="R5" s="84"/>
      <c r="S5" s="84"/>
      <c r="T5" s="84"/>
      <c r="U5" s="84"/>
      <c r="V5" s="84"/>
      <c r="W5" s="84"/>
      <c r="X5" s="84"/>
      <c r="Y5" s="85"/>
      <c r="Z5" s="92"/>
    </row>
    <row r="6" spans="1:31" x14ac:dyDescent="0.15">
      <c r="A6" s="164"/>
      <c r="B6" s="165"/>
      <c r="C6" s="165"/>
      <c r="D6" s="165"/>
      <c r="E6" s="165"/>
      <c r="F6" s="165"/>
      <c r="G6" s="165"/>
      <c r="H6" s="165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165"/>
      <c r="U6" s="165"/>
      <c r="V6" s="165"/>
      <c r="W6" s="165"/>
      <c r="X6" s="165"/>
      <c r="Y6" s="166"/>
      <c r="Z6" s="92"/>
    </row>
    <row r="7" spans="1:31" x14ac:dyDescent="0.15">
      <c r="A7" s="17"/>
      <c r="B7" s="163" t="s">
        <v>84</v>
      </c>
      <c r="C7" s="311" t="s">
        <v>205</v>
      </c>
      <c r="D7" s="312"/>
      <c r="E7" s="312"/>
      <c r="F7" s="313"/>
      <c r="G7" s="311" t="s">
        <v>83</v>
      </c>
      <c r="H7" s="312"/>
      <c r="I7" s="313"/>
      <c r="J7" s="311" t="s">
        <v>85</v>
      </c>
      <c r="K7" s="313"/>
      <c r="L7" s="97" t="s">
        <v>86</v>
      </c>
      <c r="M7" s="97" t="s">
        <v>87</v>
      </c>
      <c r="N7" s="97" t="s">
        <v>121</v>
      </c>
      <c r="O7" s="97" t="s">
        <v>88</v>
      </c>
      <c r="P7" s="97" t="s">
        <v>89</v>
      </c>
      <c r="Q7" s="97" t="s">
        <v>89</v>
      </c>
      <c r="R7" s="97" t="s">
        <v>89</v>
      </c>
      <c r="S7" s="97" t="s">
        <v>89</v>
      </c>
      <c r="T7" s="97" t="s">
        <v>89</v>
      </c>
      <c r="U7" s="311" t="s">
        <v>90</v>
      </c>
      <c r="V7" s="312"/>
      <c r="W7" s="312"/>
      <c r="X7" s="313"/>
      <c r="Y7" s="98"/>
      <c r="Z7" s="96" t="s">
        <v>126</v>
      </c>
      <c r="AA7" s="12" t="s">
        <v>127</v>
      </c>
      <c r="AB7" s="12" t="s">
        <v>125</v>
      </c>
    </row>
    <row r="8" spans="1:31" x14ac:dyDescent="0.15">
      <c r="A8" s="17"/>
      <c r="B8" s="99" t="s">
        <v>94</v>
      </c>
      <c r="C8" s="301" t="s">
        <v>255</v>
      </c>
      <c r="D8" s="302"/>
      <c r="E8" s="302"/>
      <c r="F8" s="303"/>
      <c r="G8" s="304">
        <v>1</v>
      </c>
      <c r="H8" s="305"/>
      <c r="I8" s="306"/>
      <c r="J8" s="304" t="s">
        <v>91</v>
      </c>
      <c r="K8" s="306"/>
      <c r="L8" s="100">
        <v>1</v>
      </c>
      <c r="M8" s="100"/>
      <c r="N8" s="100"/>
      <c r="O8" s="100"/>
      <c r="P8" s="100"/>
      <c r="Q8" s="100"/>
      <c r="R8" s="100"/>
      <c r="S8" s="100"/>
      <c r="T8" s="100"/>
      <c r="U8" s="307" t="s">
        <v>210</v>
      </c>
      <c r="V8" s="308"/>
      <c r="W8" s="308"/>
      <c r="X8" s="309"/>
      <c r="Y8" s="98"/>
      <c r="Z8" s="106">
        <f t="shared" ref="Z8:Z37" si="0">IF(LEFT(J8,7)="decimal",INT(MID(J8,9,FIND(",",J8,9)-9)),0)</f>
        <v>0</v>
      </c>
      <c r="AA8" s="105">
        <f t="shared" ref="AA8:AA37" si="1">IF(J8="varbinary(max)",2147483647,IF(J8="bit",1,IF(LEFT(J8,4)="char",INT(MID(J8,6,LEN(J8)-6)),IF(LEFT(J8,7)="varchar",INT(MID(J8,9,LEN(J8)-9)+2),IF(LEFT(J8,8)="nvarchar",INT(MID(J8,10,LEN(J8)-10)*2+2),IF(LEFT(J8,7)="decimal",IF(Z8&lt;10,5,IF(Z8&lt;20,9,IF(Z8&lt;29,13,17))),0))))))</f>
        <v>0</v>
      </c>
      <c r="AB8" s="105">
        <f t="shared" ref="AB8:AB37" si="2">IF(AA8&gt;0,AA8,IF(J8="date",3,IF(OR(J8="int",J8="real"),4,IF(J8="time",5,IF(OR(J8="datetime",J8="float",J8="datetime2"),8,IF(J8="uniqueidentifier",16,0))))))</f>
        <v>4</v>
      </c>
    </row>
    <row r="9" spans="1:31" x14ac:dyDescent="0.15">
      <c r="A9" s="17"/>
      <c r="B9" s="99">
        <f t="shared" ref="B9:B37" si="3">B8+1</f>
        <v>2</v>
      </c>
      <c r="C9" s="301" t="s">
        <v>258</v>
      </c>
      <c r="D9" s="302"/>
      <c r="E9" s="302"/>
      <c r="F9" s="303"/>
      <c r="G9" s="304">
        <v>1</v>
      </c>
      <c r="H9" s="305"/>
      <c r="I9" s="306"/>
      <c r="J9" s="304" t="s">
        <v>91</v>
      </c>
      <c r="K9" s="306"/>
      <c r="L9" s="100">
        <v>2</v>
      </c>
      <c r="M9" s="100"/>
      <c r="N9" s="104"/>
      <c r="O9" s="100"/>
      <c r="P9" s="100"/>
      <c r="Q9" s="100"/>
      <c r="R9" s="100"/>
      <c r="S9" s="100"/>
      <c r="T9" s="100"/>
      <c r="U9" s="307" t="s">
        <v>210</v>
      </c>
      <c r="V9" s="308"/>
      <c r="W9" s="308"/>
      <c r="X9" s="309"/>
      <c r="Y9" s="98"/>
      <c r="Z9" s="106">
        <f t="shared" si="0"/>
        <v>0</v>
      </c>
      <c r="AA9" s="105">
        <f t="shared" si="1"/>
        <v>0</v>
      </c>
      <c r="AB9" s="105">
        <f t="shared" si="2"/>
        <v>4</v>
      </c>
    </row>
    <row r="10" spans="1:31" x14ac:dyDescent="0.15">
      <c r="A10" s="17"/>
      <c r="B10" s="99">
        <f t="shared" si="3"/>
        <v>3</v>
      </c>
      <c r="C10" s="301" t="s">
        <v>331</v>
      </c>
      <c r="D10" s="302"/>
      <c r="E10" s="302"/>
      <c r="F10" s="303"/>
      <c r="G10" s="304">
        <v>1</v>
      </c>
      <c r="H10" s="305"/>
      <c r="I10" s="306"/>
      <c r="J10" s="304" t="s">
        <v>318</v>
      </c>
      <c r="K10" s="306"/>
      <c r="L10" s="100"/>
      <c r="M10" s="100" t="s">
        <v>319</v>
      </c>
      <c r="N10" s="150" t="s">
        <v>320</v>
      </c>
      <c r="O10" s="100"/>
      <c r="P10" s="100"/>
      <c r="Q10" s="100"/>
      <c r="R10" s="100"/>
      <c r="S10" s="100"/>
      <c r="T10" s="100"/>
      <c r="U10" s="307"/>
      <c r="V10" s="308"/>
      <c r="W10" s="308"/>
      <c r="X10" s="309"/>
      <c r="Y10" s="98"/>
      <c r="Z10" s="106">
        <f t="shared" si="0"/>
        <v>0</v>
      </c>
      <c r="AA10" s="105">
        <f t="shared" si="1"/>
        <v>130</v>
      </c>
      <c r="AB10" s="105">
        <f t="shared" si="2"/>
        <v>130</v>
      </c>
    </row>
    <row r="11" spans="1:31" x14ac:dyDescent="0.15">
      <c r="A11" s="17"/>
      <c r="B11" s="99">
        <f t="shared" si="3"/>
        <v>4</v>
      </c>
      <c r="C11" s="301"/>
      <c r="D11" s="302"/>
      <c r="E11" s="302"/>
      <c r="F11" s="303"/>
      <c r="G11" s="304"/>
      <c r="H11" s="305"/>
      <c r="I11" s="306"/>
      <c r="J11" s="304"/>
      <c r="K11" s="306"/>
      <c r="L11" s="100"/>
      <c r="M11" s="162"/>
      <c r="N11" s="150"/>
      <c r="O11" s="100"/>
      <c r="P11" s="100"/>
      <c r="Q11" s="100"/>
      <c r="R11" s="100"/>
      <c r="S11" s="100"/>
      <c r="T11" s="100"/>
      <c r="U11" s="307"/>
      <c r="V11" s="308"/>
      <c r="W11" s="308"/>
      <c r="X11" s="309"/>
      <c r="Y11" s="98"/>
      <c r="Z11" s="106">
        <f t="shared" si="0"/>
        <v>0</v>
      </c>
      <c r="AA11" s="105">
        <f t="shared" si="1"/>
        <v>0</v>
      </c>
      <c r="AB11" s="105">
        <f t="shared" si="2"/>
        <v>0</v>
      </c>
    </row>
    <row r="12" spans="1:31" x14ac:dyDescent="0.15">
      <c r="A12" s="17"/>
      <c r="B12" s="99">
        <f t="shared" si="3"/>
        <v>5</v>
      </c>
      <c r="C12" s="301"/>
      <c r="D12" s="302"/>
      <c r="E12" s="302"/>
      <c r="F12" s="303"/>
      <c r="G12" s="304"/>
      <c r="H12" s="305"/>
      <c r="I12" s="306"/>
      <c r="J12" s="304"/>
      <c r="K12" s="306"/>
      <c r="L12" s="100"/>
      <c r="M12" s="100"/>
      <c r="N12" s="104"/>
      <c r="O12" s="100"/>
      <c r="P12" s="100"/>
      <c r="Q12" s="100"/>
      <c r="R12" s="100"/>
      <c r="S12" s="100"/>
      <c r="T12" s="100"/>
      <c r="U12" s="307"/>
      <c r="V12" s="308"/>
      <c r="W12" s="308"/>
      <c r="X12" s="309"/>
      <c r="Y12" s="98"/>
      <c r="Z12" s="106">
        <f t="shared" si="0"/>
        <v>0</v>
      </c>
      <c r="AA12" s="105">
        <f t="shared" si="1"/>
        <v>0</v>
      </c>
      <c r="AB12" s="105">
        <f t="shared" si="2"/>
        <v>0</v>
      </c>
    </row>
    <row r="13" spans="1:31" x14ac:dyDescent="0.15">
      <c r="A13" s="17"/>
      <c r="B13" s="99">
        <f t="shared" si="3"/>
        <v>6</v>
      </c>
      <c r="C13" s="301"/>
      <c r="D13" s="302"/>
      <c r="E13" s="302"/>
      <c r="F13" s="303"/>
      <c r="G13" s="304"/>
      <c r="H13" s="305"/>
      <c r="I13" s="306"/>
      <c r="J13" s="304"/>
      <c r="K13" s="306"/>
      <c r="L13" s="100"/>
      <c r="M13" s="100"/>
      <c r="N13" s="150"/>
      <c r="O13" s="100"/>
      <c r="P13" s="100"/>
      <c r="Q13" s="100"/>
      <c r="R13" s="100"/>
      <c r="S13" s="100"/>
      <c r="T13" s="100"/>
      <c r="U13" s="307"/>
      <c r="V13" s="308"/>
      <c r="W13" s="308"/>
      <c r="X13" s="309"/>
      <c r="Y13" s="98"/>
      <c r="Z13" s="106">
        <f t="shared" si="0"/>
        <v>0</v>
      </c>
      <c r="AA13" s="105">
        <f t="shared" si="1"/>
        <v>0</v>
      </c>
      <c r="AB13" s="105">
        <f t="shared" si="2"/>
        <v>0</v>
      </c>
    </row>
    <row r="14" spans="1:31" x14ac:dyDescent="0.15">
      <c r="A14" s="17"/>
      <c r="B14" s="99">
        <f t="shared" si="3"/>
        <v>7</v>
      </c>
      <c r="C14" s="301"/>
      <c r="D14" s="302"/>
      <c r="E14" s="302"/>
      <c r="F14" s="303"/>
      <c r="G14" s="304"/>
      <c r="H14" s="305"/>
      <c r="I14" s="306"/>
      <c r="J14" s="304"/>
      <c r="K14" s="306"/>
      <c r="L14" s="100"/>
      <c r="M14" s="100"/>
      <c r="N14" s="100"/>
      <c r="O14" s="100"/>
      <c r="P14" s="100"/>
      <c r="Q14" s="100"/>
      <c r="R14" s="100"/>
      <c r="S14" s="100"/>
      <c r="T14" s="100"/>
      <c r="U14" s="307"/>
      <c r="V14" s="308"/>
      <c r="W14" s="308"/>
      <c r="X14" s="309"/>
      <c r="Y14" s="98"/>
      <c r="Z14" s="106">
        <f t="shared" si="0"/>
        <v>0</v>
      </c>
      <c r="AA14" s="105">
        <f t="shared" si="1"/>
        <v>0</v>
      </c>
      <c r="AB14" s="105">
        <f t="shared" si="2"/>
        <v>0</v>
      </c>
    </row>
    <row r="15" spans="1:31" x14ac:dyDescent="0.15">
      <c r="A15" s="101"/>
      <c r="B15" s="99">
        <f t="shared" si="3"/>
        <v>8</v>
      </c>
      <c r="C15" s="301"/>
      <c r="D15" s="302"/>
      <c r="E15" s="302"/>
      <c r="F15" s="303"/>
      <c r="G15" s="304"/>
      <c r="H15" s="305"/>
      <c r="I15" s="306"/>
      <c r="J15" s="304"/>
      <c r="K15" s="306"/>
      <c r="L15" s="100"/>
      <c r="M15" s="100"/>
      <c r="N15" s="100"/>
      <c r="O15" s="100"/>
      <c r="P15" s="100"/>
      <c r="Q15" s="100"/>
      <c r="R15" s="100"/>
      <c r="S15" s="100"/>
      <c r="T15" s="100"/>
      <c r="U15" s="307"/>
      <c r="V15" s="308"/>
      <c r="W15" s="308"/>
      <c r="X15" s="309"/>
      <c r="Y15" s="98"/>
      <c r="Z15" s="106">
        <f t="shared" si="0"/>
        <v>0</v>
      </c>
      <c r="AA15" s="105">
        <f t="shared" si="1"/>
        <v>0</v>
      </c>
      <c r="AB15" s="105">
        <f t="shared" si="2"/>
        <v>0</v>
      </c>
    </row>
    <row r="16" spans="1:31" x14ac:dyDescent="0.15">
      <c r="A16" s="101"/>
      <c r="B16" s="99">
        <f t="shared" si="3"/>
        <v>9</v>
      </c>
      <c r="C16" s="301"/>
      <c r="D16" s="302"/>
      <c r="E16" s="302"/>
      <c r="F16" s="303"/>
      <c r="G16" s="304"/>
      <c r="H16" s="305"/>
      <c r="I16" s="306"/>
      <c r="J16" s="304"/>
      <c r="K16" s="306"/>
      <c r="L16" s="100"/>
      <c r="M16" s="100"/>
      <c r="N16" s="100"/>
      <c r="O16" s="100"/>
      <c r="P16" s="100"/>
      <c r="Q16" s="100"/>
      <c r="R16" s="100"/>
      <c r="S16" s="100"/>
      <c r="T16" s="100"/>
      <c r="U16" s="301"/>
      <c r="V16" s="302"/>
      <c r="W16" s="302"/>
      <c r="X16" s="303"/>
      <c r="Y16" s="98"/>
      <c r="Z16" s="106">
        <f t="shared" si="0"/>
        <v>0</v>
      </c>
      <c r="AA16" s="105">
        <f t="shared" si="1"/>
        <v>0</v>
      </c>
      <c r="AB16" s="105">
        <f t="shared" si="2"/>
        <v>0</v>
      </c>
    </row>
    <row r="17" spans="1:28" x14ac:dyDescent="0.15">
      <c r="A17" s="101"/>
      <c r="B17" s="99">
        <f t="shared" si="3"/>
        <v>10</v>
      </c>
      <c r="C17" s="301"/>
      <c r="D17" s="302"/>
      <c r="E17" s="302"/>
      <c r="F17" s="303"/>
      <c r="G17" s="304"/>
      <c r="H17" s="305"/>
      <c r="I17" s="306"/>
      <c r="J17" s="304"/>
      <c r="K17" s="306"/>
      <c r="L17" s="100"/>
      <c r="M17" s="100"/>
      <c r="N17" s="100"/>
      <c r="O17" s="100"/>
      <c r="P17" s="100"/>
      <c r="Q17" s="100"/>
      <c r="R17" s="100"/>
      <c r="S17" s="100"/>
      <c r="T17" s="100"/>
      <c r="U17" s="301"/>
      <c r="V17" s="302"/>
      <c r="W17" s="302"/>
      <c r="X17" s="303"/>
      <c r="Y17" s="98"/>
      <c r="Z17" s="106">
        <f t="shared" si="0"/>
        <v>0</v>
      </c>
      <c r="AA17" s="105">
        <f t="shared" si="1"/>
        <v>0</v>
      </c>
      <c r="AB17" s="105">
        <f t="shared" si="2"/>
        <v>0</v>
      </c>
    </row>
    <row r="18" spans="1:28" x14ac:dyDescent="0.15">
      <c r="A18" s="101"/>
      <c r="B18" s="99">
        <f t="shared" si="3"/>
        <v>11</v>
      </c>
      <c r="C18" s="301"/>
      <c r="D18" s="302"/>
      <c r="E18" s="302"/>
      <c r="F18" s="303"/>
      <c r="G18" s="304"/>
      <c r="H18" s="305"/>
      <c r="I18" s="306"/>
      <c r="J18" s="304"/>
      <c r="K18" s="306"/>
      <c r="L18" s="100"/>
      <c r="M18" s="100"/>
      <c r="N18" s="100"/>
      <c r="O18" s="100"/>
      <c r="P18" s="100"/>
      <c r="Q18" s="100"/>
      <c r="R18" s="100"/>
      <c r="S18" s="100"/>
      <c r="T18" s="100"/>
      <c r="U18" s="301"/>
      <c r="V18" s="302"/>
      <c r="W18" s="302"/>
      <c r="X18" s="303"/>
      <c r="Y18" s="98"/>
      <c r="Z18" s="106">
        <f t="shared" si="0"/>
        <v>0</v>
      </c>
      <c r="AA18" s="105">
        <f t="shared" si="1"/>
        <v>0</v>
      </c>
      <c r="AB18" s="105">
        <f t="shared" si="2"/>
        <v>0</v>
      </c>
    </row>
    <row r="19" spans="1:28" x14ac:dyDescent="0.15">
      <c r="A19" s="101"/>
      <c r="B19" s="99">
        <f t="shared" si="3"/>
        <v>12</v>
      </c>
      <c r="C19" s="301"/>
      <c r="D19" s="302"/>
      <c r="E19" s="302"/>
      <c r="F19" s="303"/>
      <c r="G19" s="304"/>
      <c r="H19" s="305"/>
      <c r="I19" s="306"/>
      <c r="J19" s="304"/>
      <c r="K19" s="306"/>
      <c r="L19" s="100"/>
      <c r="M19" s="100"/>
      <c r="N19" s="150"/>
      <c r="O19" s="100"/>
      <c r="P19" s="100"/>
      <c r="Q19" s="100"/>
      <c r="R19" s="100"/>
      <c r="S19" s="100"/>
      <c r="T19" s="100"/>
      <c r="U19" s="307"/>
      <c r="V19" s="308"/>
      <c r="W19" s="308"/>
      <c r="X19" s="309"/>
      <c r="Y19" s="98"/>
      <c r="Z19" s="106">
        <f t="shared" si="0"/>
        <v>0</v>
      </c>
      <c r="AA19" s="105">
        <f t="shared" si="1"/>
        <v>0</v>
      </c>
      <c r="AB19" s="105">
        <f t="shared" si="2"/>
        <v>0</v>
      </c>
    </row>
    <row r="20" spans="1:28" x14ac:dyDescent="0.15">
      <c r="A20" s="101"/>
      <c r="B20" s="99">
        <f t="shared" si="3"/>
        <v>13</v>
      </c>
      <c r="C20" s="301"/>
      <c r="D20" s="302"/>
      <c r="E20" s="302"/>
      <c r="F20" s="303"/>
      <c r="G20" s="304"/>
      <c r="H20" s="305"/>
      <c r="I20" s="306"/>
      <c r="J20" s="304"/>
      <c r="K20" s="306"/>
      <c r="L20" s="100"/>
      <c r="M20" s="162"/>
      <c r="N20" s="150"/>
      <c r="O20" s="100"/>
      <c r="P20" s="100"/>
      <c r="Q20" s="100"/>
      <c r="R20" s="100"/>
      <c r="S20" s="100"/>
      <c r="T20" s="100"/>
      <c r="U20" s="307"/>
      <c r="V20" s="308"/>
      <c r="W20" s="308"/>
      <c r="X20" s="309"/>
      <c r="Y20" s="98"/>
      <c r="Z20" s="106">
        <f t="shared" si="0"/>
        <v>0</v>
      </c>
      <c r="AA20" s="105">
        <f t="shared" si="1"/>
        <v>0</v>
      </c>
      <c r="AB20" s="105">
        <f t="shared" si="2"/>
        <v>0</v>
      </c>
    </row>
    <row r="21" spans="1:28" x14ac:dyDescent="0.15">
      <c r="A21" s="101"/>
      <c r="B21" s="99">
        <f t="shared" si="3"/>
        <v>14</v>
      </c>
      <c r="C21" s="301"/>
      <c r="D21" s="302"/>
      <c r="E21" s="302"/>
      <c r="F21" s="303"/>
      <c r="G21" s="304"/>
      <c r="H21" s="305"/>
      <c r="I21" s="306"/>
      <c r="J21" s="304"/>
      <c r="K21" s="306"/>
      <c r="L21" s="100"/>
      <c r="M21" s="100"/>
      <c r="N21" s="104"/>
      <c r="O21" s="100"/>
      <c r="P21" s="100"/>
      <c r="Q21" s="100"/>
      <c r="R21" s="100"/>
      <c r="S21" s="100"/>
      <c r="T21" s="100"/>
      <c r="U21" s="307"/>
      <c r="V21" s="308"/>
      <c r="W21" s="308"/>
      <c r="X21" s="309"/>
      <c r="Y21" s="98"/>
      <c r="Z21" s="106">
        <f t="shared" si="0"/>
        <v>0</v>
      </c>
      <c r="AA21" s="105">
        <f t="shared" si="1"/>
        <v>0</v>
      </c>
      <c r="AB21" s="105">
        <f t="shared" si="2"/>
        <v>0</v>
      </c>
    </row>
    <row r="22" spans="1:28" x14ac:dyDescent="0.15">
      <c r="A22" s="101"/>
      <c r="B22" s="99">
        <f t="shared" si="3"/>
        <v>15</v>
      </c>
      <c r="C22" s="301"/>
      <c r="D22" s="302"/>
      <c r="E22" s="302"/>
      <c r="F22" s="303"/>
      <c r="G22" s="304"/>
      <c r="H22" s="305"/>
      <c r="I22" s="306"/>
      <c r="J22" s="304"/>
      <c r="K22" s="306"/>
      <c r="L22" s="100"/>
      <c r="M22" s="100"/>
      <c r="N22" s="150"/>
      <c r="O22" s="100"/>
      <c r="P22" s="100"/>
      <c r="Q22" s="100"/>
      <c r="R22" s="100"/>
      <c r="S22" s="100"/>
      <c r="T22" s="100"/>
      <c r="U22" s="307"/>
      <c r="V22" s="308"/>
      <c r="W22" s="308"/>
      <c r="X22" s="309"/>
      <c r="Y22" s="98"/>
      <c r="Z22" s="106">
        <f t="shared" si="0"/>
        <v>0</v>
      </c>
      <c r="AA22" s="105">
        <f t="shared" si="1"/>
        <v>0</v>
      </c>
      <c r="AB22" s="105">
        <f t="shared" si="2"/>
        <v>0</v>
      </c>
    </row>
    <row r="23" spans="1:28" x14ac:dyDescent="0.15">
      <c r="A23" s="101"/>
      <c r="B23" s="99">
        <f t="shared" si="3"/>
        <v>16</v>
      </c>
      <c r="C23" s="301"/>
      <c r="D23" s="302"/>
      <c r="E23" s="302"/>
      <c r="F23" s="303"/>
      <c r="G23" s="304"/>
      <c r="H23" s="305"/>
      <c r="I23" s="306"/>
      <c r="J23" s="304"/>
      <c r="K23" s="306"/>
      <c r="L23" s="100"/>
      <c r="M23" s="100"/>
      <c r="N23" s="100"/>
      <c r="O23" s="100"/>
      <c r="P23" s="100"/>
      <c r="Q23" s="100"/>
      <c r="R23" s="100"/>
      <c r="S23" s="100"/>
      <c r="T23" s="100"/>
      <c r="U23" s="301"/>
      <c r="V23" s="302"/>
      <c r="W23" s="302"/>
      <c r="X23" s="303"/>
      <c r="Y23" s="98"/>
      <c r="Z23" s="106">
        <f t="shared" si="0"/>
        <v>0</v>
      </c>
      <c r="AA23" s="105">
        <f t="shared" si="1"/>
        <v>0</v>
      </c>
      <c r="AB23" s="105">
        <f t="shared" si="2"/>
        <v>0</v>
      </c>
    </row>
    <row r="24" spans="1:28" x14ac:dyDescent="0.15">
      <c r="A24" s="101"/>
      <c r="B24" s="99">
        <f t="shared" si="3"/>
        <v>17</v>
      </c>
      <c r="C24" s="301"/>
      <c r="D24" s="302"/>
      <c r="E24" s="302"/>
      <c r="F24" s="303"/>
      <c r="G24" s="304"/>
      <c r="H24" s="305"/>
      <c r="I24" s="306"/>
      <c r="J24" s="304"/>
      <c r="K24" s="306"/>
      <c r="L24" s="100"/>
      <c r="M24" s="100"/>
      <c r="N24" s="100"/>
      <c r="O24" s="100"/>
      <c r="P24" s="100"/>
      <c r="Q24" s="100"/>
      <c r="R24" s="100"/>
      <c r="S24" s="100"/>
      <c r="T24" s="100"/>
      <c r="U24" s="301"/>
      <c r="V24" s="302"/>
      <c r="W24" s="302"/>
      <c r="X24" s="303"/>
      <c r="Y24" s="98"/>
      <c r="Z24" s="106">
        <f t="shared" si="0"/>
        <v>0</v>
      </c>
      <c r="AA24" s="105">
        <f t="shared" si="1"/>
        <v>0</v>
      </c>
      <c r="AB24" s="105">
        <f t="shared" si="2"/>
        <v>0</v>
      </c>
    </row>
    <row r="25" spans="1:28" x14ac:dyDescent="0.15">
      <c r="A25" s="101"/>
      <c r="B25" s="99">
        <f t="shared" si="3"/>
        <v>18</v>
      </c>
      <c r="C25" s="301"/>
      <c r="D25" s="302"/>
      <c r="E25" s="302"/>
      <c r="F25" s="303"/>
      <c r="G25" s="304"/>
      <c r="H25" s="305"/>
      <c r="I25" s="306"/>
      <c r="J25" s="304"/>
      <c r="K25" s="306"/>
      <c r="L25" s="100"/>
      <c r="M25" s="100"/>
      <c r="N25" s="100"/>
      <c r="O25" s="100"/>
      <c r="P25" s="100"/>
      <c r="Q25" s="100"/>
      <c r="R25" s="100"/>
      <c r="S25" s="100"/>
      <c r="T25" s="100"/>
      <c r="U25" s="301"/>
      <c r="V25" s="302"/>
      <c r="W25" s="302"/>
      <c r="X25" s="303"/>
      <c r="Y25" s="98"/>
      <c r="Z25" s="106">
        <f t="shared" si="0"/>
        <v>0</v>
      </c>
      <c r="AA25" s="105">
        <f t="shared" si="1"/>
        <v>0</v>
      </c>
      <c r="AB25" s="105">
        <f t="shared" si="2"/>
        <v>0</v>
      </c>
    </row>
    <row r="26" spans="1:28" x14ac:dyDescent="0.15">
      <c r="A26" s="101"/>
      <c r="B26" s="99">
        <f t="shared" si="3"/>
        <v>19</v>
      </c>
      <c r="C26" s="301"/>
      <c r="D26" s="302"/>
      <c r="E26" s="302"/>
      <c r="F26" s="303"/>
      <c r="G26" s="304"/>
      <c r="H26" s="305"/>
      <c r="I26" s="306"/>
      <c r="J26" s="304"/>
      <c r="K26" s="306"/>
      <c r="L26" s="100"/>
      <c r="M26" s="100"/>
      <c r="N26" s="100"/>
      <c r="O26" s="100"/>
      <c r="P26" s="100"/>
      <c r="Q26" s="100"/>
      <c r="R26" s="100"/>
      <c r="S26" s="100"/>
      <c r="T26" s="100"/>
      <c r="U26" s="301"/>
      <c r="V26" s="302"/>
      <c r="W26" s="302"/>
      <c r="X26" s="303"/>
      <c r="Y26" s="98"/>
      <c r="Z26" s="106">
        <f t="shared" si="0"/>
        <v>0</v>
      </c>
      <c r="AA26" s="105">
        <f t="shared" si="1"/>
        <v>0</v>
      </c>
      <c r="AB26" s="105">
        <f t="shared" si="2"/>
        <v>0</v>
      </c>
    </row>
    <row r="27" spans="1:28" x14ac:dyDescent="0.15">
      <c r="A27" s="101"/>
      <c r="B27" s="99">
        <f t="shared" si="3"/>
        <v>20</v>
      </c>
      <c r="C27" s="301"/>
      <c r="D27" s="302"/>
      <c r="E27" s="302"/>
      <c r="F27" s="303"/>
      <c r="G27" s="304"/>
      <c r="H27" s="305"/>
      <c r="I27" s="306"/>
      <c r="J27" s="304"/>
      <c r="K27" s="306"/>
      <c r="L27" s="100"/>
      <c r="M27" s="100"/>
      <c r="N27" s="100"/>
      <c r="O27" s="100"/>
      <c r="P27" s="100"/>
      <c r="Q27" s="100"/>
      <c r="R27" s="100"/>
      <c r="S27" s="100"/>
      <c r="T27" s="100"/>
      <c r="U27" s="301"/>
      <c r="V27" s="302"/>
      <c r="W27" s="302"/>
      <c r="X27" s="303"/>
      <c r="Y27" s="98"/>
      <c r="Z27" s="106">
        <f t="shared" si="0"/>
        <v>0</v>
      </c>
      <c r="AA27" s="105">
        <f t="shared" si="1"/>
        <v>0</v>
      </c>
      <c r="AB27" s="105">
        <f t="shared" si="2"/>
        <v>0</v>
      </c>
    </row>
    <row r="28" spans="1:28" x14ac:dyDescent="0.15">
      <c r="A28" s="101"/>
      <c r="B28" s="99">
        <f t="shared" si="3"/>
        <v>21</v>
      </c>
      <c r="C28" s="301"/>
      <c r="D28" s="302"/>
      <c r="E28" s="302"/>
      <c r="F28" s="303"/>
      <c r="G28" s="304"/>
      <c r="H28" s="305"/>
      <c r="I28" s="306"/>
      <c r="J28" s="304"/>
      <c r="K28" s="306"/>
      <c r="L28" s="100"/>
      <c r="M28" s="100"/>
      <c r="N28" s="100"/>
      <c r="O28" s="100"/>
      <c r="P28" s="100"/>
      <c r="Q28" s="100"/>
      <c r="R28" s="100"/>
      <c r="S28" s="100"/>
      <c r="T28" s="100"/>
      <c r="U28" s="301"/>
      <c r="V28" s="302"/>
      <c r="W28" s="302"/>
      <c r="X28" s="303"/>
      <c r="Y28" s="98"/>
      <c r="Z28" s="106">
        <f t="shared" si="0"/>
        <v>0</v>
      </c>
      <c r="AA28" s="105">
        <f t="shared" si="1"/>
        <v>0</v>
      </c>
      <c r="AB28" s="105">
        <f t="shared" si="2"/>
        <v>0</v>
      </c>
    </row>
    <row r="29" spans="1:28" x14ac:dyDescent="0.15">
      <c r="A29" s="101"/>
      <c r="B29" s="99">
        <f t="shared" si="3"/>
        <v>22</v>
      </c>
      <c r="C29" s="301"/>
      <c r="D29" s="302"/>
      <c r="E29" s="302"/>
      <c r="F29" s="303"/>
      <c r="G29" s="304"/>
      <c r="H29" s="305"/>
      <c r="I29" s="306"/>
      <c r="J29" s="304"/>
      <c r="K29" s="306"/>
      <c r="L29" s="100"/>
      <c r="M29" s="100"/>
      <c r="N29" s="100"/>
      <c r="O29" s="100"/>
      <c r="P29" s="100"/>
      <c r="Q29" s="100"/>
      <c r="R29" s="100"/>
      <c r="S29" s="100"/>
      <c r="T29" s="100"/>
      <c r="U29" s="301"/>
      <c r="V29" s="302"/>
      <c r="W29" s="302"/>
      <c r="X29" s="303"/>
      <c r="Y29" s="98"/>
      <c r="Z29" s="106">
        <f t="shared" si="0"/>
        <v>0</v>
      </c>
      <c r="AA29" s="105">
        <f t="shared" si="1"/>
        <v>0</v>
      </c>
      <c r="AB29" s="105">
        <f t="shared" si="2"/>
        <v>0</v>
      </c>
    </row>
    <row r="30" spans="1:28" x14ac:dyDescent="0.15">
      <c r="A30" s="101"/>
      <c r="B30" s="99">
        <f t="shared" si="3"/>
        <v>23</v>
      </c>
      <c r="C30" s="301"/>
      <c r="D30" s="302"/>
      <c r="E30" s="302"/>
      <c r="F30" s="303"/>
      <c r="G30" s="304"/>
      <c r="H30" s="305"/>
      <c r="I30" s="306"/>
      <c r="J30" s="304"/>
      <c r="K30" s="306"/>
      <c r="L30" s="100"/>
      <c r="M30" s="100"/>
      <c r="N30" s="100"/>
      <c r="O30" s="100"/>
      <c r="P30" s="100"/>
      <c r="Q30" s="100"/>
      <c r="R30" s="100"/>
      <c r="S30" s="100"/>
      <c r="T30" s="100"/>
      <c r="U30" s="301"/>
      <c r="V30" s="302"/>
      <c r="W30" s="302"/>
      <c r="X30" s="303"/>
      <c r="Y30" s="98"/>
      <c r="Z30" s="106">
        <f t="shared" si="0"/>
        <v>0</v>
      </c>
      <c r="AA30" s="105">
        <f t="shared" si="1"/>
        <v>0</v>
      </c>
      <c r="AB30" s="105">
        <f t="shared" si="2"/>
        <v>0</v>
      </c>
    </row>
    <row r="31" spans="1:28" x14ac:dyDescent="0.15">
      <c r="A31" s="101"/>
      <c r="B31" s="99">
        <f t="shared" si="3"/>
        <v>24</v>
      </c>
      <c r="C31" s="301"/>
      <c r="D31" s="302"/>
      <c r="E31" s="302"/>
      <c r="F31" s="303"/>
      <c r="G31" s="304"/>
      <c r="H31" s="305"/>
      <c r="I31" s="306"/>
      <c r="J31" s="304"/>
      <c r="K31" s="306"/>
      <c r="L31" s="100"/>
      <c r="M31" s="100"/>
      <c r="N31" s="100"/>
      <c r="O31" s="100"/>
      <c r="P31" s="100"/>
      <c r="Q31" s="100"/>
      <c r="R31" s="100"/>
      <c r="S31" s="100"/>
      <c r="T31" s="100"/>
      <c r="U31" s="301"/>
      <c r="V31" s="302"/>
      <c r="W31" s="302"/>
      <c r="X31" s="303"/>
      <c r="Y31" s="98"/>
      <c r="Z31" s="106">
        <f t="shared" si="0"/>
        <v>0</v>
      </c>
      <c r="AA31" s="105">
        <f t="shared" si="1"/>
        <v>0</v>
      </c>
      <c r="AB31" s="105">
        <f t="shared" si="2"/>
        <v>0</v>
      </c>
    </row>
    <row r="32" spans="1:28" x14ac:dyDescent="0.15">
      <c r="A32" s="101"/>
      <c r="B32" s="99">
        <f t="shared" si="3"/>
        <v>25</v>
      </c>
      <c r="C32" s="301"/>
      <c r="D32" s="302"/>
      <c r="E32" s="302"/>
      <c r="F32" s="303"/>
      <c r="G32" s="304"/>
      <c r="H32" s="305"/>
      <c r="I32" s="306"/>
      <c r="J32" s="304"/>
      <c r="K32" s="306"/>
      <c r="L32" s="100"/>
      <c r="M32" s="100"/>
      <c r="N32" s="100"/>
      <c r="O32" s="100"/>
      <c r="P32" s="100"/>
      <c r="Q32" s="100"/>
      <c r="R32" s="100"/>
      <c r="S32" s="100"/>
      <c r="T32" s="100"/>
      <c r="U32" s="301"/>
      <c r="V32" s="302"/>
      <c r="W32" s="302"/>
      <c r="X32" s="303"/>
      <c r="Y32" s="98"/>
      <c r="Z32" s="106">
        <f t="shared" si="0"/>
        <v>0</v>
      </c>
      <c r="AA32" s="105">
        <f t="shared" si="1"/>
        <v>0</v>
      </c>
      <c r="AB32" s="105">
        <f t="shared" si="2"/>
        <v>0</v>
      </c>
    </row>
    <row r="33" spans="1:28" x14ac:dyDescent="0.15">
      <c r="A33" s="101"/>
      <c r="B33" s="99">
        <f t="shared" si="3"/>
        <v>26</v>
      </c>
      <c r="C33" s="301"/>
      <c r="D33" s="302"/>
      <c r="E33" s="302"/>
      <c r="F33" s="303"/>
      <c r="G33" s="304"/>
      <c r="H33" s="305"/>
      <c r="I33" s="306"/>
      <c r="J33" s="304"/>
      <c r="K33" s="306"/>
      <c r="L33" s="100"/>
      <c r="M33" s="100"/>
      <c r="N33" s="100"/>
      <c r="O33" s="100"/>
      <c r="P33" s="100"/>
      <c r="Q33" s="100"/>
      <c r="R33" s="100"/>
      <c r="S33" s="100"/>
      <c r="T33" s="100"/>
      <c r="U33" s="301"/>
      <c r="V33" s="302"/>
      <c r="W33" s="302"/>
      <c r="X33" s="303"/>
      <c r="Y33" s="98"/>
      <c r="Z33" s="106">
        <f t="shared" si="0"/>
        <v>0</v>
      </c>
      <c r="AA33" s="105">
        <f t="shared" si="1"/>
        <v>0</v>
      </c>
      <c r="AB33" s="105">
        <f t="shared" si="2"/>
        <v>0</v>
      </c>
    </row>
    <row r="34" spans="1:28" x14ac:dyDescent="0.15">
      <c r="A34" s="101"/>
      <c r="B34" s="99">
        <f t="shared" si="3"/>
        <v>27</v>
      </c>
      <c r="C34" s="301"/>
      <c r="D34" s="302"/>
      <c r="E34" s="302"/>
      <c r="F34" s="303"/>
      <c r="G34" s="304"/>
      <c r="H34" s="305"/>
      <c r="I34" s="306"/>
      <c r="J34" s="304"/>
      <c r="K34" s="306"/>
      <c r="L34" s="100"/>
      <c r="M34" s="100"/>
      <c r="N34" s="100"/>
      <c r="O34" s="100"/>
      <c r="P34" s="100"/>
      <c r="Q34" s="100"/>
      <c r="R34" s="100"/>
      <c r="S34" s="100"/>
      <c r="T34" s="100"/>
      <c r="U34" s="301"/>
      <c r="V34" s="302"/>
      <c r="W34" s="302"/>
      <c r="X34" s="303"/>
      <c r="Y34" s="98"/>
      <c r="Z34" s="106">
        <f t="shared" si="0"/>
        <v>0</v>
      </c>
      <c r="AA34" s="105">
        <f t="shared" si="1"/>
        <v>0</v>
      </c>
      <c r="AB34" s="105">
        <f t="shared" si="2"/>
        <v>0</v>
      </c>
    </row>
    <row r="35" spans="1:28" x14ac:dyDescent="0.15">
      <c r="A35" s="101"/>
      <c r="B35" s="99">
        <f t="shared" si="3"/>
        <v>28</v>
      </c>
      <c r="C35" s="301"/>
      <c r="D35" s="302"/>
      <c r="E35" s="302"/>
      <c r="F35" s="303"/>
      <c r="G35" s="304"/>
      <c r="H35" s="305"/>
      <c r="I35" s="306"/>
      <c r="J35" s="304"/>
      <c r="K35" s="306"/>
      <c r="L35" s="100"/>
      <c r="M35" s="100"/>
      <c r="N35" s="100"/>
      <c r="O35" s="100"/>
      <c r="P35" s="100"/>
      <c r="Q35" s="100"/>
      <c r="R35" s="100"/>
      <c r="S35" s="100"/>
      <c r="T35" s="100"/>
      <c r="U35" s="301"/>
      <c r="V35" s="302"/>
      <c r="W35" s="302"/>
      <c r="X35" s="303"/>
      <c r="Y35" s="98"/>
      <c r="Z35" s="106">
        <f t="shared" si="0"/>
        <v>0</v>
      </c>
      <c r="AA35" s="105">
        <f t="shared" si="1"/>
        <v>0</v>
      </c>
      <c r="AB35" s="105">
        <f t="shared" si="2"/>
        <v>0</v>
      </c>
    </row>
    <row r="36" spans="1:28" x14ac:dyDescent="0.15">
      <c r="A36" s="101"/>
      <c r="B36" s="99">
        <f t="shared" si="3"/>
        <v>29</v>
      </c>
      <c r="C36" s="301"/>
      <c r="D36" s="302"/>
      <c r="E36" s="302"/>
      <c r="F36" s="303"/>
      <c r="G36" s="304"/>
      <c r="H36" s="305"/>
      <c r="I36" s="306"/>
      <c r="J36" s="304"/>
      <c r="K36" s="306"/>
      <c r="L36" s="100"/>
      <c r="M36" s="100"/>
      <c r="N36" s="100"/>
      <c r="O36" s="100"/>
      <c r="P36" s="100"/>
      <c r="Q36" s="100"/>
      <c r="R36" s="100"/>
      <c r="S36" s="100"/>
      <c r="T36" s="100"/>
      <c r="U36" s="301"/>
      <c r="V36" s="302"/>
      <c r="W36" s="302"/>
      <c r="X36" s="303"/>
      <c r="Y36" s="98"/>
      <c r="Z36" s="106">
        <f t="shared" si="0"/>
        <v>0</v>
      </c>
      <c r="AA36" s="105">
        <f t="shared" si="1"/>
        <v>0</v>
      </c>
      <c r="AB36" s="105">
        <f t="shared" si="2"/>
        <v>0</v>
      </c>
    </row>
    <row r="37" spans="1:28" x14ac:dyDescent="0.15">
      <c r="A37" s="101"/>
      <c r="B37" s="99">
        <f t="shared" si="3"/>
        <v>30</v>
      </c>
      <c r="C37" s="301"/>
      <c r="D37" s="302"/>
      <c r="E37" s="302"/>
      <c r="F37" s="303"/>
      <c r="G37" s="304"/>
      <c r="H37" s="305"/>
      <c r="I37" s="306"/>
      <c r="J37" s="304"/>
      <c r="K37" s="306"/>
      <c r="L37" s="100"/>
      <c r="M37" s="100"/>
      <c r="N37" s="100"/>
      <c r="O37" s="100"/>
      <c r="P37" s="100"/>
      <c r="Q37" s="100"/>
      <c r="R37" s="100"/>
      <c r="S37" s="100"/>
      <c r="T37" s="100"/>
      <c r="U37" s="301"/>
      <c r="V37" s="302"/>
      <c r="W37" s="302"/>
      <c r="X37" s="303"/>
      <c r="Y37" s="98"/>
      <c r="Z37" s="106">
        <f t="shared" si="0"/>
        <v>0</v>
      </c>
      <c r="AA37" s="105">
        <f t="shared" si="1"/>
        <v>0</v>
      </c>
      <c r="AB37" s="105">
        <f t="shared" si="2"/>
        <v>0</v>
      </c>
    </row>
    <row r="38" spans="1:28" x14ac:dyDescent="0.15">
      <c r="A38" s="101"/>
      <c r="B38" s="298" t="s">
        <v>122</v>
      </c>
      <c r="C38" s="299"/>
      <c r="D38" s="299"/>
      <c r="E38" s="299"/>
      <c r="F38" s="299"/>
      <c r="G38" s="299"/>
      <c r="H38" s="299"/>
      <c r="I38" s="299"/>
      <c r="J38" s="299"/>
      <c r="K38" s="299"/>
      <c r="L38" s="299"/>
      <c r="M38" s="299"/>
      <c r="N38" s="299"/>
      <c r="O38" s="299"/>
      <c r="P38" s="299"/>
      <c r="Q38" s="299"/>
      <c r="R38" s="299"/>
      <c r="S38" s="299"/>
      <c r="T38" s="299"/>
      <c r="U38" s="299"/>
      <c r="V38" s="299"/>
      <c r="W38" s="299"/>
      <c r="X38" s="300"/>
      <c r="Y38" s="98"/>
      <c r="Z38" s="92"/>
    </row>
    <row r="39" spans="1:28" x14ac:dyDescent="0.15">
      <c r="A39" s="101"/>
      <c r="B39" s="101" t="s">
        <v>257</v>
      </c>
      <c r="C39" s="92"/>
      <c r="D39" s="92"/>
      <c r="E39" s="92"/>
      <c r="F39" s="92"/>
      <c r="G39" s="92"/>
      <c r="H39" s="92"/>
      <c r="I39" s="92"/>
      <c r="J39" s="92"/>
      <c r="K39" s="92"/>
      <c r="L39" s="92"/>
      <c r="M39" s="92"/>
      <c r="N39" s="92"/>
      <c r="O39" s="92"/>
      <c r="P39" s="92"/>
      <c r="Q39" s="92"/>
      <c r="R39" s="92"/>
      <c r="S39" s="92"/>
      <c r="T39" s="92"/>
      <c r="U39" s="92"/>
      <c r="V39" s="92"/>
      <c r="W39" s="92"/>
      <c r="X39" s="98"/>
      <c r="Y39" s="98"/>
      <c r="Z39" s="92"/>
    </row>
    <row r="40" spans="1:28" x14ac:dyDescent="0.15">
      <c r="A40" s="101"/>
      <c r="B40" s="101"/>
      <c r="C40" s="92"/>
      <c r="D40" s="92"/>
      <c r="E40" s="92"/>
      <c r="F40" s="92"/>
      <c r="G40" s="92"/>
      <c r="H40" s="92"/>
      <c r="I40" s="92"/>
      <c r="J40" s="92"/>
      <c r="K40" s="92"/>
      <c r="L40" s="92"/>
      <c r="M40" s="92"/>
      <c r="N40" s="92"/>
      <c r="O40" s="92"/>
      <c r="P40" s="92"/>
      <c r="Q40" s="92"/>
      <c r="R40" s="92"/>
      <c r="S40" s="92"/>
      <c r="T40" s="92"/>
      <c r="U40" s="92"/>
      <c r="V40" s="92"/>
      <c r="W40" s="92"/>
      <c r="X40" s="98"/>
      <c r="Y40" s="98"/>
      <c r="Z40" s="92"/>
    </row>
    <row r="41" spans="1:28" x14ac:dyDescent="0.15">
      <c r="A41" s="101"/>
      <c r="B41" s="101"/>
      <c r="C41" s="92"/>
      <c r="D41" s="92"/>
      <c r="E41" s="92"/>
      <c r="F41" s="92"/>
      <c r="G41" s="92"/>
      <c r="H41" s="92"/>
      <c r="I41" s="92"/>
      <c r="J41" s="92"/>
      <c r="K41" s="92"/>
      <c r="L41" s="92"/>
      <c r="M41" s="92"/>
      <c r="N41" s="92"/>
      <c r="O41" s="92"/>
      <c r="P41" s="92"/>
      <c r="Q41" s="92"/>
      <c r="R41" s="92"/>
      <c r="S41" s="92"/>
      <c r="T41" s="92"/>
      <c r="U41" s="92"/>
      <c r="V41" s="92"/>
      <c r="W41" s="92"/>
      <c r="X41" s="98"/>
      <c r="Y41" s="98"/>
      <c r="Z41" s="92"/>
    </row>
    <row r="42" spans="1:28" x14ac:dyDescent="0.15">
      <c r="A42" s="101"/>
      <c r="B42" s="102"/>
      <c r="C42" s="93"/>
      <c r="D42" s="93"/>
      <c r="E42" s="93"/>
      <c r="F42" s="93"/>
      <c r="G42" s="93"/>
      <c r="H42" s="93"/>
      <c r="I42" s="93"/>
      <c r="J42" s="93"/>
      <c r="K42" s="93"/>
      <c r="L42" s="93"/>
      <c r="M42" s="93"/>
      <c r="N42" s="93"/>
      <c r="O42" s="93"/>
      <c r="P42" s="93"/>
      <c r="Q42" s="93"/>
      <c r="R42" s="93"/>
      <c r="S42" s="93"/>
      <c r="T42" s="93"/>
      <c r="U42" s="93"/>
      <c r="V42" s="93"/>
      <c r="W42" s="93"/>
      <c r="X42" s="103"/>
      <c r="Y42" s="98"/>
      <c r="Z42" s="92"/>
    </row>
    <row r="43" spans="1:28" x14ac:dyDescent="0.15">
      <c r="A43" s="102"/>
      <c r="B43" s="93"/>
      <c r="C43" s="93"/>
      <c r="D43" s="93"/>
      <c r="E43" s="93"/>
      <c r="F43" s="93"/>
      <c r="G43" s="93"/>
      <c r="H43" s="93"/>
      <c r="I43" s="93"/>
      <c r="J43" s="93"/>
      <c r="K43" s="93"/>
      <c r="L43" s="93"/>
      <c r="M43" s="93"/>
      <c r="N43" s="93"/>
      <c r="O43" s="93"/>
      <c r="P43" s="93"/>
      <c r="Q43" s="93"/>
      <c r="R43" s="93"/>
      <c r="S43" s="93"/>
      <c r="T43" s="93"/>
      <c r="U43" s="93"/>
      <c r="V43" s="93"/>
      <c r="W43" s="93"/>
      <c r="X43" s="93"/>
      <c r="Y43" s="103"/>
      <c r="Z43" s="92"/>
    </row>
  </sheetData>
  <mergeCells count="138">
    <mergeCell ref="W2:Y3"/>
    <mergeCell ref="A3:B3"/>
    <mergeCell ref="G3:I3"/>
    <mergeCell ref="C7:F7"/>
    <mergeCell ref="G7:I7"/>
    <mergeCell ref="J7:K7"/>
    <mergeCell ref="U7:X7"/>
    <mergeCell ref="A1:F2"/>
    <mergeCell ref="G1:I1"/>
    <mergeCell ref="P1:Q1"/>
    <mergeCell ref="R1:T1"/>
    <mergeCell ref="U1:V1"/>
    <mergeCell ref="W1:Y1"/>
    <mergeCell ref="G2:I2"/>
    <mergeCell ref="P2:Q3"/>
    <mergeCell ref="R2:T3"/>
    <mergeCell ref="U2:V3"/>
    <mergeCell ref="C10:F10"/>
    <mergeCell ref="G10:I10"/>
    <mergeCell ref="J10:K10"/>
    <mergeCell ref="U10:X10"/>
    <mergeCell ref="C11:F11"/>
    <mergeCell ref="G11:I11"/>
    <mergeCell ref="J11:K11"/>
    <mergeCell ref="U11:X11"/>
    <mergeCell ref="C8:F8"/>
    <mergeCell ref="G8:I8"/>
    <mergeCell ref="J8:K8"/>
    <mergeCell ref="U8:X8"/>
    <mergeCell ref="C9:F9"/>
    <mergeCell ref="G9:I9"/>
    <mergeCell ref="J9:K9"/>
    <mergeCell ref="U9:X9"/>
    <mergeCell ref="C14:F14"/>
    <mergeCell ref="G14:I14"/>
    <mergeCell ref="J14:K14"/>
    <mergeCell ref="U14:X14"/>
    <mergeCell ref="C15:F15"/>
    <mergeCell ref="G15:I15"/>
    <mergeCell ref="J15:K15"/>
    <mergeCell ref="U15:X15"/>
    <mergeCell ref="C12:F12"/>
    <mergeCell ref="G12:I12"/>
    <mergeCell ref="J12:K12"/>
    <mergeCell ref="U12:X12"/>
    <mergeCell ref="C13:F13"/>
    <mergeCell ref="G13:I13"/>
    <mergeCell ref="J13:K13"/>
    <mergeCell ref="U13:X13"/>
    <mergeCell ref="C18:F18"/>
    <mergeCell ref="G18:I18"/>
    <mergeCell ref="J18:K18"/>
    <mergeCell ref="U18:X18"/>
    <mergeCell ref="C19:F19"/>
    <mergeCell ref="G19:I19"/>
    <mergeCell ref="J19:K19"/>
    <mergeCell ref="U19:X19"/>
    <mergeCell ref="C16:F16"/>
    <mergeCell ref="G16:I16"/>
    <mergeCell ref="J16:K16"/>
    <mergeCell ref="U16:X16"/>
    <mergeCell ref="C17:F17"/>
    <mergeCell ref="G17:I17"/>
    <mergeCell ref="J17:K17"/>
    <mergeCell ref="U17:X17"/>
    <mergeCell ref="C22:F22"/>
    <mergeCell ref="G22:I22"/>
    <mergeCell ref="J22:K22"/>
    <mergeCell ref="U22:X22"/>
    <mergeCell ref="C23:F23"/>
    <mergeCell ref="G23:I23"/>
    <mergeCell ref="J23:K23"/>
    <mergeCell ref="U23:X23"/>
    <mergeCell ref="C20:F20"/>
    <mergeCell ref="G20:I20"/>
    <mergeCell ref="J20:K20"/>
    <mergeCell ref="U20:X20"/>
    <mergeCell ref="C21:F21"/>
    <mergeCell ref="G21:I21"/>
    <mergeCell ref="J21:K21"/>
    <mergeCell ref="U21:X21"/>
    <mergeCell ref="C26:F26"/>
    <mergeCell ref="G26:I26"/>
    <mergeCell ref="J26:K26"/>
    <mergeCell ref="U26:X26"/>
    <mergeCell ref="C27:F27"/>
    <mergeCell ref="G27:I27"/>
    <mergeCell ref="J27:K27"/>
    <mergeCell ref="U27:X27"/>
    <mergeCell ref="C24:F24"/>
    <mergeCell ref="G24:I24"/>
    <mergeCell ref="J24:K24"/>
    <mergeCell ref="U24:X24"/>
    <mergeCell ref="C25:F25"/>
    <mergeCell ref="G25:I25"/>
    <mergeCell ref="J25:K25"/>
    <mergeCell ref="U25:X25"/>
    <mergeCell ref="C30:F30"/>
    <mergeCell ref="G30:I30"/>
    <mergeCell ref="J30:K30"/>
    <mergeCell ref="U30:X30"/>
    <mergeCell ref="C31:F31"/>
    <mergeCell ref="G31:I31"/>
    <mergeCell ref="J31:K31"/>
    <mergeCell ref="U31:X31"/>
    <mergeCell ref="C28:F28"/>
    <mergeCell ref="G28:I28"/>
    <mergeCell ref="J28:K28"/>
    <mergeCell ref="U28:X28"/>
    <mergeCell ref="C29:F29"/>
    <mergeCell ref="G29:I29"/>
    <mergeCell ref="J29:K29"/>
    <mergeCell ref="U29:X29"/>
    <mergeCell ref="C34:F34"/>
    <mergeCell ref="G34:I34"/>
    <mergeCell ref="J34:K34"/>
    <mergeCell ref="U34:X34"/>
    <mergeCell ref="C35:F35"/>
    <mergeCell ref="G35:I35"/>
    <mergeCell ref="J35:K35"/>
    <mergeCell ref="U35:X35"/>
    <mergeCell ref="C32:F32"/>
    <mergeCell ref="G32:I32"/>
    <mergeCell ref="J32:K32"/>
    <mergeCell ref="U32:X32"/>
    <mergeCell ref="C33:F33"/>
    <mergeCell ref="G33:I33"/>
    <mergeCell ref="J33:K33"/>
    <mergeCell ref="U33:X33"/>
    <mergeCell ref="B38:X38"/>
    <mergeCell ref="C36:F36"/>
    <mergeCell ref="G36:I36"/>
    <mergeCell ref="J36:K36"/>
    <mergeCell ref="U36:X36"/>
    <mergeCell ref="C37:F37"/>
    <mergeCell ref="G37:I37"/>
    <mergeCell ref="J37:K37"/>
    <mergeCell ref="U37:X37"/>
  </mergeCells>
  <phoneticPr fontId="1"/>
  <conditionalFormatting sqref="J17:K18 J23:K37">
    <cfRule type="expression" dxfId="653" priority="40">
      <formula>ISERROR(AB17)</formula>
    </cfRule>
    <cfRule type="expression" dxfId="652" priority="41">
      <formula>ISBLANK(AB17)</formula>
    </cfRule>
    <cfRule type="expression" dxfId="651" priority="42">
      <formula>AND(J17&lt;&gt;"",AB17&lt;=0)</formula>
    </cfRule>
  </conditionalFormatting>
  <conditionalFormatting sqref="J8:K8">
    <cfRule type="expression" dxfId="650" priority="37">
      <formula>ISERROR(AB8)</formula>
    </cfRule>
    <cfRule type="expression" dxfId="649" priority="38">
      <formula>ISBLANK(AB8)</formula>
    </cfRule>
    <cfRule type="expression" dxfId="648" priority="39">
      <formula>AND(J8&lt;&gt;"",AB8&lt;=0)</formula>
    </cfRule>
  </conditionalFormatting>
  <conditionalFormatting sqref="J14:K15">
    <cfRule type="expression" dxfId="647" priority="34">
      <formula>ISERROR(AB14)</formula>
    </cfRule>
    <cfRule type="expression" dxfId="646" priority="35">
      <formula>ISBLANK(AB14)</formula>
    </cfRule>
    <cfRule type="expression" dxfId="645" priority="36">
      <formula>AND(J14&lt;&gt;"",AB14&lt;=0)</formula>
    </cfRule>
  </conditionalFormatting>
  <conditionalFormatting sqref="J16:K16">
    <cfRule type="expression" dxfId="644" priority="31">
      <formula>ISERROR(AB16)</formula>
    </cfRule>
    <cfRule type="expression" dxfId="643" priority="32">
      <formula>ISBLANK(AB16)</formula>
    </cfRule>
    <cfRule type="expression" dxfId="642" priority="33">
      <formula>AND(J16&lt;&gt;"",AB16&lt;=0)</formula>
    </cfRule>
  </conditionalFormatting>
  <conditionalFormatting sqref="J10:K10">
    <cfRule type="expression" dxfId="641" priority="13">
      <formula>ISERROR(AB10)</formula>
    </cfRule>
    <cfRule type="expression" dxfId="640" priority="14">
      <formula>ISBLANK(AB10)</formula>
    </cfRule>
    <cfRule type="expression" dxfId="639" priority="15">
      <formula>AND(J10&lt;&gt;"",AB10&lt;=0)</formula>
    </cfRule>
  </conditionalFormatting>
  <conditionalFormatting sqref="J13:K13">
    <cfRule type="expression" dxfId="638" priority="4">
      <formula>ISERROR(AB13)</formula>
    </cfRule>
    <cfRule type="expression" dxfId="637" priority="5">
      <formula>ISBLANK(AB13)</formula>
    </cfRule>
    <cfRule type="expression" dxfId="636" priority="6">
      <formula>AND(J13&lt;&gt;"",AB13&lt;=0)</formula>
    </cfRule>
  </conditionalFormatting>
  <conditionalFormatting sqref="J20:K20">
    <cfRule type="expression" dxfId="635" priority="22">
      <formula>ISERROR(AB20)</formula>
    </cfRule>
    <cfRule type="expression" dxfId="634" priority="23">
      <formula>ISBLANK(AB20)</formula>
    </cfRule>
    <cfRule type="expression" dxfId="633" priority="24">
      <formula>AND(J20&lt;&gt;"",AB20&lt;=0)</formula>
    </cfRule>
  </conditionalFormatting>
  <conditionalFormatting sqref="J21:K21">
    <cfRule type="expression" dxfId="632" priority="19">
      <formula>ISERROR(AB21)</formula>
    </cfRule>
    <cfRule type="expression" dxfId="631" priority="20">
      <formula>ISBLANK(AB21)</formula>
    </cfRule>
    <cfRule type="expression" dxfId="630" priority="21">
      <formula>AND(J21&lt;&gt;"",AB21&lt;=0)</formula>
    </cfRule>
  </conditionalFormatting>
  <conditionalFormatting sqref="J22:K22">
    <cfRule type="expression" dxfId="629" priority="16">
      <formula>ISERROR(AB22)</formula>
    </cfRule>
    <cfRule type="expression" dxfId="628" priority="17">
      <formula>ISBLANK(AB22)</formula>
    </cfRule>
    <cfRule type="expression" dxfId="627" priority="18">
      <formula>AND(J22&lt;&gt;"",AB22&lt;=0)</formula>
    </cfRule>
  </conditionalFormatting>
  <conditionalFormatting sqref="J19:K19">
    <cfRule type="expression" dxfId="626" priority="25">
      <formula>ISERROR(AB19)</formula>
    </cfRule>
    <cfRule type="expression" dxfId="625" priority="26">
      <formula>ISBLANK(AB19)</formula>
    </cfRule>
    <cfRule type="expression" dxfId="624" priority="27">
      <formula>AND(J19&lt;&gt;"",AB19&lt;=0)</formula>
    </cfRule>
  </conditionalFormatting>
  <conditionalFormatting sqref="J11:K11">
    <cfRule type="expression" dxfId="623" priority="10">
      <formula>ISERROR(AB11)</formula>
    </cfRule>
    <cfRule type="expression" dxfId="622" priority="11">
      <formula>ISBLANK(AB11)</formula>
    </cfRule>
    <cfRule type="expression" dxfId="621" priority="12">
      <formula>AND(J11&lt;&gt;"",AB11&lt;=0)</formula>
    </cfRule>
  </conditionalFormatting>
  <conditionalFormatting sqref="J12:K12">
    <cfRule type="expression" dxfId="620" priority="7">
      <formula>ISERROR(AB12)</formula>
    </cfRule>
    <cfRule type="expression" dxfId="619" priority="8">
      <formula>ISBLANK(AB12)</formula>
    </cfRule>
    <cfRule type="expression" dxfId="618" priority="9">
      <formula>AND(J12&lt;&gt;"",AB12&lt;=0)</formula>
    </cfRule>
  </conditionalFormatting>
  <conditionalFormatting sqref="J9:K9">
    <cfRule type="expression" dxfId="617" priority="1">
      <formula>ISERROR(AB9)</formula>
    </cfRule>
    <cfRule type="expression" dxfId="616" priority="2">
      <formula>ISBLANK(AB9)</formula>
    </cfRule>
    <cfRule type="expression" dxfId="615" priority="3">
      <formula>AND(J9&lt;&gt;"",AB9&lt;=0)</formula>
    </cfRule>
  </conditionalFormatting>
  <printOptions horizontalCentered="1"/>
  <pageMargins left="0.23622047244094491" right="0.23622047244094491" top="0.39370078740157483" bottom="0.39370078740157483" header="0" footer="0"/>
  <pageSetup paperSize="9" fitToHeight="0" orientation="landscape" r:id="rId1"/>
  <headerFooter alignWithMargins="0">
    <oddFooter>&amp;L&amp;F&amp;R&amp;P / &amp;N</oddFooter>
  </headerFooter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5"/>
  <dimension ref="A1:AE43"/>
  <sheetViews>
    <sheetView showGridLines="0" view="pageBreakPreview" zoomScaleNormal="85" zoomScaleSheetLayoutView="100" workbookViewId="0">
      <selection activeCell="B40" sqref="B40"/>
    </sheetView>
  </sheetViews>
  <sheetFormatPr defaultColWidth="5.625" defaultRowHeight="13.5" x14ac:dyDescent="0.15"/>
  <cols>
    <col min="1" max="16" width="5.625" style="12" customWidth="1"/>
    <col min="17" max="25" width="5.625" style="12"/>
    <col min="26" max="26" width="12.75" style="96" bestFit="1" customWidth="1"/>
    <col min="27" max="27" width="12.75" style="12" bestFit="1" customWidth="1"/>
    <col min="28" max="28" width="18.375" style="12" bestFit="1" customWidth="1"/>
    <col min="29" max="238" width="5.625" style="12"/>
    <col min="239" max="254" width="5.625" style="12" customWidth="1"/>
    <col min="255" max="494" width="5.625" style="12"/>
    <col min="495" max="510" width="5.625" style="12" customWidth="1"/>
    <col min="511" max="750" width="5.625" style="12"/>
    <col min="751" max="766" width="5.625" style="12" customWidth="1"/>
    <col min="767" max="1006" width="5.625" style="12"/>
    <col min="1007" max="1022" width="5.625" style="12" customWidth="1"/>
    <col min="1023" max="1262" width="5.625" style="12"/>
    <col min="1263" max="1278" width="5.625" style="12" customWidth="1"/>
    <col min="1279" max="1518" width="5.625" style="12"/>
    <col min="1519" max="1534" width="5.625" style="12" customWidth="1"/>
    <col min="1535" max="1774" width="5.625" style="12"/>
    <col min="1775" max="1790" width="5.625" style="12" customWidth="1"/>
    <col min="1791" max="2030" width="5.625" style="12"/>
    <col min="2031" max="2046" width="5.625" style="12" customWidth="1"/>
    <col min="2047" max="2286" width="5.625" style="12"/>
    <col min="2287" max="2302" width="5.625" style="12" customWidth="1"/>
    <col min="2303" max="2542" width="5.625" style="12"/>
    <col min="2543" max="2558" width="5.625" style="12" customWidth="1"/>
    <col min="2559" max="2798" width="5.625" style="12"/>
    <col min="2799" max="2814" width="5.625" style="12" customWidth="1"/>
    <col min="2815" max="3054" width="5.625" style="12"/>
    <col min="3055" max="3070" width="5.625" style="12" customWidth="1"/>
    <col min="3071" max="3310" width="5.625" style="12"/>
    <col min="3311" max="3326" width="5.625" style="12" customWidth="1"/>
    <col min="3327" max="3566" width="5.625" style="12"/>
    <col min="3567" max="3582" width="5.625" style="12" customWidth="1"/>
    <col min="3583" max="3822" width="5.625" style="12"/>
    <col min="3823" max="3838" width="5.625" style="12" customWidth="1"/>
    <col min="3839" max="4078" width="5.625" style="12"/>
    <col min="4079" max="4094" width="5.625" style="12" customWidth="1"/>
    <col min="4095" max="4334" width="5.625" style="12"/>
    <col min="4335" max="4350" width="5.625" style="12" customWidth="1"/>
    <col min="4351" max="4590" width="5.625" style="12"/>
    <col min="4591" max="4606" width="5.625" style="12" customWidth="1"/>
    <col min="4607" max="4846" width="5.625" style="12"/>
    <col min="4847" max="4862" width="5.625" style="12" customWidth="1"/>
    <col min="4863" max="5102" width="5.625" style="12"/>
    <col min="5103" max="5118" width="5.625" style="12" customWidth="1"/>
    <col min="5119" max="5358" width="5.625" style="12"/>
    <col min="5359" max="5374" width="5.625" style="12" customWidth="1"/>
    <col min="5375" max="5614" width="5.625" style="12"/>
    <col min="5615" max="5630" width="5.625" style="12" customWidth="1"/>
    <col min="5631" max="5870" width="5.625" style="12"/>
    <col min="5871" max="5886" width="5.625" style="12" customWidth="1"/>
    <col min="5887" max="6126" width="5.625" style="12"/>
    <col min="6127" max="6142" width="5.625" style="12" customWidth="1"/>
    <col min="6143" max="6382" width="5.625" style="12"/>
    <col min="6383" max="6398" width="5.625" style="12" customWidth="1"/>
    <col min="6399" max="6638" width="5.625" style="12"/>
    <col min="6639" max="6654" width="5.625" style="12" customWidth="1"/>
    <col min="6655" max="6894" width="5.625" style="12"/>
    <col min="6895" max="6910" width="5.625" style="12" customWidth="1"/>
    <col min="6911" max="7150" width="5.625" style="12"/>
    <col min="7151" max="7166" width="5.625" style="12" customWidth="1"/>
    <col min="7167" max="7406" width="5.625" style="12"/>
    <col min="7407" max="7422" width="5.625" style="12" customWidth="1"/>
    <col min="7423" max="7662" width="5.625" style="12"/>
    <col min="7663" max="7678" width="5.625" style="12" customWidth="1"/>
    <col min="7679" max="7918" width="5.625" style="12"/>
    <col min="7919" max="7934" width="5.625" style="12" customWidth="1"/>
    <col min="7935" max="8174" width="5.625" style="12"/>
    <col min="8175" max="8190" width="5.625" style="12" customWidth="1"/>
    <col min="8191" max="8430" width="5.625" style="12"/>
    <col min="8431" max="8446" width="5.625" style="12" customWidth="1"/>
    <col min="8447" max="8686" width="5.625" style="12"/>
    <col min="8687" max="8702" width="5.625" style="12" customWidth="1"/>
    <col min="8703" max="8942" width="5.625" style="12"/>
    <col min="8943" max="8958" width="5.625" style="12" customWidth="1"/>
    <col min="8959" max="9198" width="5.625" style="12"/>
    <col min="9199" max="9214" width="5.625" style="12" customWidth="1"/>
    <col min="9215" max="9454" width="5.625" style="12"/>
    <col min="9455" max="9470" width="5.625" style="12" customWidth="1"/>
    <col min="9471" max="9710" width="5.625" style="12"/>
    <col min="9711" max="9726" width="5.625" style="12" customWidth="1"/>
    <col min="9727" max="9966" width="5.625" style="12"/>
    <col min="9967" max="9982" width="5.625" style="12" customWidth="1"/>
    <col min="9983" max="10222" width="5.625" style="12"/>
    <col min="10223" max="10238" width="5.625" style="12" customWidth="1"/>
    <col min="10239" max="10478" width="5.625" style="12"/>
    <col min="10479" max="10494" width="5.625" style="12" customWidth="1"/>
    <col min="10495" max="10734" width="5.625" style="12"/>
    <col min="10735" max="10750" width="5.625" style="12" customWidth="1"/>
    <col min="10751" max="10990" width="5.625" style="12"/>
    <col min="10991" max="11006" width="5.625" style="12" customWidth="1"/>
    <col min="11007" max="11246" width="5.625" style="12"/>
    <col min="11247" max="11262" width="5.625" style="12" customWidth="1"/>
    <col min="11263" max="11502" width="5.625" style="12"/>
    <col min="11503" max="11518" width="5.625" style="12" customWidth="1"/>
    <col min="11519" max="11758" width="5.625" style="12"/>
    <col min="11759" max="11774" width="5.625" style="12" customWidth="1"/>
    <col min="11775" max="12014" width="5.625" style="12"/>
    <col min="12015" max="12030" width="5.625" style="12" customWidth="1"/>
    <col min="12031" max="12270" width="5.625" style="12"/>
    <col min="12271" max="12286" width="5.625" style="12" customWidth="1"/>
    <col min="12287" max="12526" width="5.625" style="12"/>
    <col min="12527" max="12542" width="5.625" style="12" customWidth="1"/>
    <col min="12543" max="12782" width="5.625" style="12"/>
    <col min="12783" max="12798" width="5.625" style="12" customWidth="1"/>
    <col min="12799" max="13038" width="5.625" style="12"/>
    <col min="13039" max="13054" width="5.625" style="12" customWidth="1"/>
    <col min="13055" max="13294" width="5.625" style="12"/>
    <col min="13295" max="13310" width="5.625" style="12" customWidth="1"/>
    <col min="13311" max="13550" width="5.625" style="12"/>
    <col min="13551" max="13566" width="5.625" style="12" customWidth="1"/>
    <col min="13567" max="13806" width="5.625" style="12"/>
    <col min="13807" max="13822" width="5.625" style="12" customWidth="1"/>
    <col min="13823" max="14062" width="5.625" style="12"/>
    <col min="14063" max="14078" width="5.625" style="12" customWidth="1"/>
    <col min="14079" max="14318" width="5.625" style="12"/>
    <col min="14319" max="14334" width="5.625" style="12" customWidth="1"/>
    <col min="14335" max="14574" width="5.625" style="12"/>
    <col min="14575" max="14590" width="5.625" style="12" customWidth="1"/>
    <col min="14591" max="14830" width="5.625" style="12"/>
    <col min="14831" max="14846" width="5.625" style="12" customWidth="1"/>
    <col min="14847" max="15086" width="5.625" style="12"/>
    <col min="15087" max="15102" width="5.625" style="12" customWidth="1"/>
    <col min="15103" max="15342" width="5.625" style="12"/>
    <col min="15343" max="15358" width="5.625" style="12" customWidth="1"/>
    <col min="15359" max="15598" width="5.625" style="12"/>
    <col min="15599" max="15614" width="5.625" style="12" customWidth="1"/>
    <col min="15615" max="15854" width="5.625" style="12"/>
    <col min="15855" max="15870" width="5.625" style="12" customWidth="1"/>
    <col min="15871" max="16110" width="5.625" style="12"/>
    <col min="16111" max="16126" width="5.625" style="12" customWidth="1"/>
    <col min="16127" max="16384" width="5.625" style="12"/>
  </cols>
  <sheetData>
    <row r="1" spans="1:31" ht="13.5" customHeight="1" x14ac:dyDescent="0.15">
      <c r="A1" s="260" t="s">
        <v>81</v>
      </c>
      <c r="B1" s="261"/>
      <c r="C1" s="261"/>
      <c r="D1" s="261"/>
      <c r="E1" s="261"/>
      <c r="F1" s="262"/>
      <c r="G1" s="311" t="s">
        <v>5</v>
      </c>
      <c r="H1" s="312"/>
      <c r="I1" s="313"/>
      <c r="J1" s="21"/>
      <c r="K1" s="94"/>
      <c r="L1" s="94"/>
      <c r="M1" s="94"/>
      <c r="N1" s="94"/>
      <c r="O1" s="94"/>
      <c r="P1" s="311" t="s">
        <v>8</v>
      </c>
      <c r="Q1" s="313"/>
      <c r="R1" s="311" t="s">
        <v>7</v>
      </c>
      <c r="S1" s="312"/>
      <c r="T1" s="313"/>
      <c r="U1" s="311" t="s">
        <v>9</v>
      </c>
      <c r="V1" s="313"/>
      <c r="W1" s="311" t="s">
        <v>10</v>
      </c>
      <c r="X1" s="312"/>
      <c r="Y1" s="313"/>
      <c r="Z1" s="107"/>
      <c r="AA1" s="12" t="s">
        <v>128</v>
      </c>
      <c r="AE1" s="12" t="s">
        <v>124</v>
      </c>
    </row>
    <row r="2" spans="1:31" ht="13.5" customHeight="1" x14ac:dyDescent="0.15">
      <c r="A2" s="266"/>
      <c r="B2" s="267"/>
      <c r="C2" s="267"/>
      <c r="D2" s="267"/>
      <c r="E2" s="267"/>
      <c r="F2" s="268"/>
      <c r="G2" s="311" t="s">
        <v>6</v>
      </c>
      <c r="H2" s="312"/>
      <c r="I2" s="313"/>
      <c r="J2" s="21"/>
      <c r="K2" s="95"/>
      <c r="L2" s="95"/>
      <c r="M2" s="95"/>
      <c r="N2" s="95"/>
      <c r="O2" s="95"/>
      <c r="P2" s="246"/>
      <c r="Q2" s="247"/>
      <c r="R2" s="273"/>
      <c r="S2" s="274"/>
      <c r="T2" s="275"/>
      <c r="U2" s="246"/>
      <c r="V2" s="247"/>
      <c r="W2" s="273"/>
      <c r="X2" s="274"/>
      <c r="Y2" s="275"/>
      <c r="Z2" s="107"/>
      <c r="AA2" s="12">
        <f>SUM(AB:AB)</f>
        <v>72</v>
      </c>
    </row>
    <row r="3" spans="1:31" ht="13.5" customHeight="1" x14ac:dyDescent="0.15">
      <c r="A3" s="311" t="s">
        <v>82</v>
      </c>
      <c r="B3" s="312"/>
      <c r="C3" s="21" t="str">
        <f ca="1">RIGHT(CELL("filename",A2),LEN(CELL("filename",A2))-FIND("]",CELL("filename",A2)))</f>
        <v>ｹｰｽ管理ID変換</v>
      </c>
      <c r="D3" s="95"/>
      <c r="E3" s="95"/>
      <c r="F3" s="95"/>
      <c r="G3" s="311" t="s">
        <v>83</v>
      </c>
      <c r="H3" s="312"/>
      <c r="I3" s="313"/>
      <c r="J3" s="21" t="s">
        <v>239</v>
      </c>
      <c r="K3" s="95"/>
      <c r="L3" s="95"/>
      <c r="M3" s="95"/>
      <c r="N3" s="95"/>
      <c r="O3" s="95"/>
      <c r="P3" s="248"/>
      <c r="Q3" s="249"/>
      <c r="R3" s="276"/>
      <c r="S3" s="277"/>
      <c r="T3" s="278"/>
      <c r="U3" s="248"/>
      <c r="V3" s="249"/>
      <c r="W3" s="276"/>
      <c r="X3" s="277"/>
      <c r="Y3" s="278"/>
      <c r="Z3" s="107"/>
    </row>
    <row r="4" spans="1:31" x14ac:dyDescent="0.15">
      <c r="A4" s="86"/>
      <c r="B4" s="18"/>
      <c r="C4" s="18"/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  <c r="O4" s="18"/>
      <c r="P4" s="18"/>
      <c r="Q4" s="18"/>
      <c r="R4" s="18"/>
      <c r="S4" s="18"/>
      <c r="T4" s="18"/>
      <c r="U4" s="18"/>
      <c r="V4" s="18"/>
      <c r="W4" s="18"/>
      <c r="X4" s="18"/>
      <c r="Y4" s="18"/>
      <c r="Z4" s="92"/>
    </row>
    <row r="5" spans="1:31" ht="13.5" customHeight="1" x14ac:dyDescent="0.15">
      <c r="A5" s="83" t="s">
        <v>93</v>
      </c>
      <c r="B5" s="84"/>
      <c r="C5" s="84"/>
      <c r="D5" s="84"/>
      <c r="E5" s="84"/>
      <c r="F5" s="84"/>
      <c r="G5" s="84"/>
      <c r="H5" s="84"/>
      <c r="I5" s="84"/>
      <c r="J5" s="84"/>
      <c r="K5" s="84"/>
      <c r="L5" s="84"/>
      <c r="M5" s="84"/>
      <c r="N5" s="84"/>
      <c r="O5" s="84"/>
      <c r="P5" s="84"/>
      <c r="Q5" s="84"/>
      <c r="R5" s="84"/>
      <c r="S5" s="84"/>
      <c r="T5" s="84"/>
      <c r="U5" s="84"/>
      <c r="V5" s="84"/>
      <c r="W5" s="84"/>
      <c r="X5" s="84"/>
      <c r="Y5" s="85"/>
      <c r="Z5" s="92"/>
    </row>
    <row r="6" spans="1:31" x14ac:dyDescent="0.15">
      <c r="A6" s="156"/>
      <c r="B6" s="157"/>
      <c r="C6" s="157"/>
      <c r="D6" s="157"/>
      <c r="E6" s="157"/>
      <c r="F6" s="157"/>
      <c r="G6" s="157"/>
      <c r="H6" s="157"/>
      <c r="I6" s="157"/>
      <c r="J6" s="157"/>
      <c r="K6" s="157"/>
      <c r="L6" s="157"/>
      <c r="M6" s="157"/>
      <c r="N6" s="157"/>
      <c r="O6" s="157"/>
      <c r="P6" s="157"/>
      <c r="Q6" s="157"/>
      <c r="R6" s="157"/>
      <c r="S6" s="157"/>
      <c r="T6" s="157"/>
      <c r="U6" s="157"/>
      <c r="V6" s="157"/>
      <c r="W6" s="157"/>
      <c r="X6" s="157"/>
      <c r="Y6" s="158"/>
      <c r="Z6" s="92"/>
    </row>
    <row r="7" spans="1:31" x14ac:dyDescent="0.15">
      <c r="A7" s="17"/>
      <c r="B7" s="155" t="s">
        <v>202</v>
      </c>
      <c r="C7" s="311" t="s">
        <v>205</v>
      </c>
      <c r="D7" s="312"/>
      <c r="E7" s="312"/>
      <c r="F7" s="313"/>
      <c r="G7" s="311" t="s">
        <v>83</v>
      </c>
      <c r="H7" s="312"/>
      <c r="I7" s="313"/>
      <c r="J7" s="311" t="s">
        <v>85</v>
      </c>
      <c r="K7" s="313"/>
      <c r="L7" s="97" t="s">
        <v>201</v>
      </c>
      <c r="M7" s="97" t="s">
        <v>200</v>
      </c>
      <c r="N7" s="97" t="s">
        <v>121</v>
      </c>
      <c r="O7" s="97" t="s">
        <v>88</v>
      </c>
      <c r="P7" s="97" t="s">
        <v>198</v>
      </c>
      <c r="Q7" s="97" t="s">
        <v>199</v>
      </c>
      <c r="R7" s="97" t="s">
        <v>89</v>
      </c>
      <c r="S7" s="97" t="s">
        <v>198</v>
      </c>
      <c r="T7" s="97" t="s">
        <v>89</v>
      </c>
      <c r="U7" s="311" t="s">
        <v>90</v>
      </c>
      <c r="V7" s="312"/>
      <c r="W7" s="312"/>
      <c r="X7" s="313"/>
      <c r="Y7" s="98"/>
      <c r="Z7" s="96" t="s">
        <v>126</v>
      </c>
      <c r="AA7" s="12" t="s">
        <v>127</v>
      </c>
      <c r="AB7" s="12" t="s">
        <v>125</v>
      </c>
    </row>
    <row r="8" spans="1:31" x14ac:dyDescent="0.15">
      <c r="A8" s="17"/>
      <c r="B8" s="99" t="s">
        <v>197</v>
      </c>
      <c r="C8" s="301" t="s">
        <v>255</v>
      </c>
      <c r="D8" s="302"/>
      <c r="E8" s="302"/>
      <c r="F8" s="303"/>
      <c r="G8" s="304">
        <v>1</v>
      </c>
      <c r="H8" s="305"/>
      <c r="I8" s="306"/>
      <c r="J8" s="304" t="s">
        <v>91</v>
      </c>
      <c r="K8" s="306"/>
      <c r="L8" s="100">
        <v>1</v>
      </c>
      <c r="M8" s="100"/>
      <c r="N8" s="100"/>
      <c r="O8" s="100"/>
      <c r="P8" s="100"/>
      <c r="Q8" s="100"/>
      <c r="R8" s="100"/>
      <c r="S8" s="100"/>
      <c r="T8" s="100"/>
      <c r="U8" s="307" t="s">
        <v>210</v>
      </c>
      <c r="V8" s="308"/>
      <c r="W8" s="308"/>
      <c r="X8" s="309"/>
      <c r="Y8" s="98"/>
      <c r="Z8" s="106">
        <f t="shared" ref="Z8:Z37" si="0">IF(LEFT(J8,7)="decimal",INT(MID(J8,9,FIND(",",J8,9)-9)),0)</f>
        <v>0</v>
      </c>
      <c r="AA8" s="105">
        <f t="shared" ref="AA8:AA37" si="1">IF(J8="varbinary(max)",2147483647,IF(J8="bit",1,IF(LEFT(J8,4)="char",INT(MID(J8,6,LEN(J8)-6)),IF(LEFT(J8,7)="varchar",INT(MID(J8,9,LEN(J8)-9)+2),IF(LEFT(J8,8)="nvarchar",INT(MID(J8,10,LEN(J8)-10)*2+2),IF(LEFT(J8,7)="decimal",IF(Z8&lt;10,5,IF(Z8&lt;20,9,IF(Z8&lt;29,13,17))),0))))))</f>
        <v>0</v>
      </c>
      <c r="AB8" s="105">
        <f t="shared" ref="AB8:AB37" si="2">IF(AA8&gt;0,AA8,IF(J8="date",3,IF(OR(J8="int",J8="real"),4,IF(J8="time",5,IF(OR(J8="datetime",J8="float",J8="datetime2"),8,IF(J8="uniqueidentifier",16,0))))))</f>
        <v>4</v>
      </c>
    </row>
    <row r="9" spans="1:31" x14ac:dyDescent="0.15">
      <c r="A9" s="17"/>
      <c r="B9" s="99">
        <f t="shared" ref="B9:B37" si="3">B8+1</f>
        <v>2</v>
      </c>
      <c r="C9" s="301" t="s">
        <v>261</v>
      </c>
      <c r="D9" s="302"/>
      <c r="E9" s="302"/>
      <c r="F9" s="303"/>
      <c r="G9" s="304">
        <v>1</v>
      </c>
      <c r="H9" s="305"/>
      <c r="I9" s="306"/>
      <c r="J9" s="304" t="s">
        <v>262</v>
      </c>
      <c r="K9" s="306"/>
      <c r="L9" s="100">
        <v>2</v>
      </c>
      <c r="M9" s="100"/>
      <c r="N9" s="150"/>
      <c r="O9" s="100"/>
      <c r="P9" s="100"/>
      <c r="Q9" s="100"/>
      <c r="R9" s="100"/>
      <c r="S9" s="100"/>
      <c r="T9" s="100"/>
      <c r="U9" s="307" t="s">
        <v>210</v>
      </c>
      <c r="V9" s="308"/>
      <c r="W9" s="308"/>
      <c r="X9" s="309"/>
      <c r="Y9" s="98"/>
      <c r="Z9" s="106">
        <f t="shared" si="0"/>
        <v>0</v>
      </c>
      <c r="AA9" s="105">
        <f t="shared" si="1"/>
        <v>64</v>
      </c>
      <c r="AB9" s="105">
        <f t="shared" si="2"/>
        <v>64</v>
      </c>
    </row>
    <row r="10" spans="1:31" x14ac:dyDescent="0.15">
      <c r="A10" s="17"/>
      <c r="B10" s="99">
        <f t="shared" si="3"/>
        <v>3</v>
      </c>
      <c r="C10" s="301" t="s">
        <v>209</v>
      </c>
      <c r="D10" s="302"/>
      <c r="E10" s="302"/>
      <c r="F10" s="303"/>
      <c r="G10" s="304">
        <v>1</v>
      </c>
      <c r="H10" s="305"/>
      <c r="I10" s="306"/>
      <c r="J10" s="304" t="s">
        <v>91</v>
      </c>
      <c r="K10" s="306"/>
      <c r="L10" s="100"/>
      <c r="M10" s="162" t="s">
        <v>92</v>
      </c>
      <c r="N10" s="150" t="s">
        <v>215</v>
      </c>
      <c r="O10" s="100" t="s">
        <v>253</v>
      </c>
      <c r="P10" s="100"/>
      <c r="Q10" s="100"/>
      <c r="R10" s="100"/>
      <c r="S10" s="100"/>
      <c r="T10" s="100"/>
      <c r="U10" s="307" t="s">
        <v>210</v>
      </c>
      <c r="V10" s="308"/>
      <c r="W10" s="308"/>
      <c r="X10" s="309"/>
      <c r="Y10" s="98"/>
      <c r="Z10" s="106">
        <f t="shared" si="0"/>
        <v>0</v>
      </c>
      <c r="AA10" s="105">
        <f t="shared" si="1"/>
        <v>0</v>
      </c>
      <c r="AB10" s="105">
        <f t="shared" si="2"/>
        <v>4</v>
      </c>
    </row>
    <row r="11" spans="1:31" x14ac:dyDescent="0.15">
      <c r="A11" s="17"/>
      <c r="B11" s="99">
        <f t="shared" si="3"/>
        <v>4</v>
      </c>
      <c r="C11" s="301"/>
      <c r="D11" s="302"/>
      <c r="E11" s="302"/>
      <c r="F11" s="303"/>
      <c r="G11" s="304"/>
      <c r="H11" s="305"/>
      <c r="I11" s="306"/>
      <c r="J11" s="304"/>
      <c r="K11" s="306"/>
      <c r="L11" s="100"/>
      <c r="M11" s="100"/>
      <c r="N11" s="104"/>
      <c r="O11" s="100"/>
      <c r="P11" s="100"/>
      <c r="Q11" s="100"/>
      <c r="R11" s="100"/>
      <c r="S11" s="100"/>
      <c r="T11" s="100"/>
      <c r="U11" s="301"/>
      <c r="V11" s="302"/>
      <c r="W11" s="302"/>
      <c r="X11" s="303"/>
      <c r="Y11" s="98"/>
      <c r="Z11" s="106">
        <f t="shared" si="0"/>
        <v>0</v>
      </c>
      <c r="AA11" s="105">
        <f t="shared" si="1"/>
        <v>0</v>
      </c>
      <c r="AB11" s="105">
        <f t="shared" si="2"/>
        <v>0</v>
      </c>
    </row>
    <row r="12" spans="1:31" x14ac:dyDescent="0.15">
      <c r="A12" s="17"/>
      <c r="B12" s="99">
        <f t="shared" si="3"/>
        <v>5</v>
      </c>
      <c r="C12" s="301"/>
      <c r="D12" s="302"/>
      <c r="E12" s="302"/>
      <c r="F12" s="303"/>
      <c r="G12" s="304"/>
      <c r="H12" s="305"/>
      <c r="I12" s="306"/>
      <c r="J12" s="304"/>
      <c r="K12" s="306"/>
      <c r="L12" s="100"/>
      <c r="M12" s="100"/>
      <c r="N12" s="150"/>
      <c r="O12" s="100"/>
      <c r="P12" s="100"/>
      <c r="Q12" s="100"/>
      <c r="R12" s="100"/>
      <c r="S12" s="100"/>
      <c r="T12" s="100"/>
      <c r="U12" s="301"/>
      <c r="V12" s="302"/>
      <c r="W12" s="302"/>
      <c r="X12" s="303"/>
      <c r="Y12" s="98"/>
      <c r="Z12" s="106">
        <f t="shared" si="0"/>
        <v>0</v>
      </c>
      <c r="AA12" s="105">
        <f t="shared" si="1"/>
        <v>0</v>
      </c>
      <c r="AB12" s="105">
        <f t="shared" si="2"/>
        <v>0</v>
      </c>
    </row>
    <row r="13" spans="1:31" x14ac:dyDescent="0.15">
      <c r="A13" s="17"/>
      <c r="B13" s="99">
        <f t="shared" si="3"/>
        <v>6</v>
      </c>
      <c r="C13" s="301"/>
      <c r="D13" s="302"/>
      <c r="E13" s="302"/>
      <c r="F13" s="303"/>
      <c r="G13" s="304"/>
      <c r="H13" s="305"/>
      <c r="I13" s="306"/>
      <c r="J13" s="304"/>
      <c r="K13" s="306"/>
      <c r="L13" s="100"/>
      <c r="M13" s="100"/>
      <c r="N13" s="100"/>
      <c r="O13" s="100"/>
      <c r="P13" s="100"/>
      <c r="Q13" s="100"/>
      <c r="R13" s="100"/>
      <c r="S13" s="100"/>
      <c r="T13" s="100"/>
      <c r="U13" s="301"/>
      <c r="V13" s="302"/>
      <c r="W13" s="302"/>
      <c r="X13" s="303"/>
      <c r="Y13" s="98"/>
      <c r="Z13" s="106">
        <f t="shared" si="0"/>
        <v>0</v>
      </c>
      <c r="AA13" s="105">
        <f t="shared" si="1"/>
        <v>0</v>
      </c>
      <c r="AB13" s="105">
        <f t="shared" si="2"/>
        <v>0</v>
      </c>
    </row>
    <row r="14" spans="1:31" x14ac:dyDescent="0.15">
      <c r="A14" s="17"/>
      <c r="B14" s="99">
        <f t="shared" si="3"/>
        <v>7</v>
      </c>
      <c r="C14" s="301"/>
      <c r="D14" s="302"/>
      <c r="E14" s="302"/>
      <c r="F14" s="303"/>
      <c r="G14" s="304"/>
      <c r="H14" s="305"/>
      <c r="I14" s="306"/>
      <c r="J14" s="304"/>
      <c r="K14" s="306"/>
      <c r="L14" s="100"/>
      <c r="M14" s="100"/>
      <c r="N14" s="100"/>
      <c r="O14" s="100"/>
      <c r="P14" s="100"/>
      <c r="Q14" s="100"/>
      <c r="R14" s="100"/>
      <c r="S14" s="100"/>
      <c r="T14" s="100"/>
      <c r="U14" s="301"/>
      <c r="V14" s="302"/>
      <c r="W14" s="302"/>
      <c r="X14" s="303"/>
      <c r="Y14" s="98"/>
      <c r="Z14" s="106">
        <f t="shared" si="0"/>
        <v>0</v>
      </c>
      <c r="AA14" s="105">
        <f t="shared" si="1"/>
        <v>0</v>
      </c>
      <c r="AB14" s="105">
        <f t="shared" si="2"/>
        <v>0</v>
      </c>
    </row>
    <row r="15" spans="1:31" x14ac:dyDescent="0.15">
      <c r="A15" s="101"/>
      <c r="B15" s="99">
        <f t="shared" si="3"/>
        <v>8</v>
      </c>
      <c r="C15" s="301"/>
      <c r="D15" s="302"/>
      <c r="E15" s="302"/>
      <c r="F15" s="303"/>
      <c r="G15" s="304"/>
      <c r="H15" s="305"/>
      <c r="I15" s="306"/>
      <c r="J15" s="304"/>
      <c r="K15" s="306"/>
      <c r="L15" s="100"/>
      <c r="M15" s="100"/>
      <c r="N15" s="100"/>
      <c r="O15" s="100"/>
      <c r="P15" s="100"/>
      <c r="Q15" s="100"/>
      <c r="R15" s="100"/>
      <c r="S15" s="100"/>
      <c r="T15" s="100"/>
      <c r="U15" s="301"/>
      <c r="V15" s="302"/>
      <c r="W15" s="302"/>
      <c r="X15" s="303"/>
      <c r="Y15" s="98"/>
      <c r="Z15" s="106">
        <f t="shared" si="0"/>
        <v>0</v>
      </c>
      <c r="AA15" s="105">
        <f t="shared" si="1"/>
        <v>0</v>
      </c>
      <c r="AB15" s="105">
        <f t="shared" si="2"/>
        <v>0</v>
      </c>
    </row>
    <row r="16" spans="1:31" x14ac:dyDescent="0.15">
      <c r="A16" s="101"/>
      <c r="B16" s="99">
        <f t="shared" si="3"/>
        <v>9</v>
      </c>
      <c r="C16" s="301"/>
      <c r="D16" s="302"/>
      <c r="E16" s="302"/>
      <c r="F16" s="303"/>
      <c r="G16" s="304"/>
      <c r="H16" s="305"/>
      <c r="I16" s="306"/>
      <c r="J16" s="304"/>
      <c r="K16" s="306"/>
      <c r="L16" s="100"/>
      <c r="M16" s="100"/>
      <c r="N16" s="100"/>
      <c r="O16" s="100"/>
      <c r="P16" s="100"/>
      <c r="Q16" s="100"/>
      <c r="R16" s="100"/>
      <c r="S16" s="100"/>
      <c r="T16" s="100"/>
      <c r="U16" s="301"/>
      <c r="V16" s="302"/>
      <c r="W16" s="302"/>
      <c r="X16" s="303"/>
      <c r="Y16" s="98"/>
      <c r="Z16" s="106">
        <f t="shared" si="0"/>
        <v>0</v>
      </c>
      <c r="AA16" s="105">
        <f t="shared" si="1"/>
        <v>0</v>
      </c>
      <c r="AB16" s="105">
        <f t="shared" si="2"/>
        <v>0</v>
      </c>
    </row>
    <row r="17" spans="1:28" x14ac:dyDescent="0.15">
      <c r="A17" s="101"/>
      <c r="B17" s="99">
        <f t="shared" si="3"/>
        <v>10</v>
      </c>
      <c r="C17" s="301"/>
      <c r="D17" s="302"/>
      <c r="E17" s="302"/>
      <c r="F17" s="303"/>
      <c r="G17" s="304"/>
      <c r="H17" s="305"/>
      <c r="I17" s="306"/>
      <c r="J17" s="304"/>
      <c r="K17" s="306"/>
      <c r="L17" s="100"/>
      <c r="M17" s="100"/>
      <c r="N17" s="100"/>
      <c r="O17" s="100"/>
      <c r="P17" s="100"/>
      <c r="Q17" s="100"/>
      <c r="R17" s="100"/>
      <c r="S17" s="100"/>
      <c r="T17" s="100"/>
      <c r="U17" s="301"/>
      <c r="V17" s="302"/>
      <c r="W17" s="302"/>
      <c r="X17" s="303"/>
      <c r="Y17" s="98"/>
      <c r="Z17" s="106">
        <f t="shared" si="0"/>
        <v>0</v>
      </c>
      <c r="AA17" s="105">
        <f t="shared" si="1"/>
        <v>0</v>
      </c>
      <c r="AB17" s="105">
        <f t="shared" si="2"/>
        <v>0</v>
      </c>
    </row>
    <row r="18" spans="1:28" x14ac:dyDescent="0.15">
      <c r="A18" s="101"/>
      <c r="B18" s="99">
        <f t="shared" si="3"/>
        <v>11</v>
      </c>
      <c r="C18" s="301"/>
      <c r="D18" s="302"/>
      <c r="E18" s="302"/>
      <c r="F18" s="303"/>
      <c r="G18" s="304"/>
      <c r="H18" s="305"/>
      <c r="I18" s="306"/>
      <c r="J18" s="304"/>
      <c r="K18" s="306"/>
      <c r="L18" s="100"/>
      <c r="M18" s="100"/>
      <c r="N18" s="100"/>
      <c r="O18" s="100"/>
      <c r="P18" s="100"/>
      <c r="Q18" s="100"/>
      <c r="R18" s="100"/>
      <c r="S18" s="100"/>
      <c r="T18" s="100"/>
      <c r="U18" s="301"/>
      <c r="V18" s="302"/>
      <c r="W18" s="302"/>
      <c r="X18" s="303"/>
      <c r="Y18" s="98"/>
      <c r="Z18" s="106">
        <f t="shared" si="0"/>
        <v>0</v>
      </c>
      <c r="AA18" s="105">
        <f t="shared" si="1"/>
        <v>0</v>
      </c>
      <c r="AB18" s="105">
        <f t="shared" si="2"/>
        <v>0</v>
      </c>
    </row>
    <row r="19" spans="1:28" x14ac:dyDescent="0.15">
      <c r="A19" s="101"/>
      <c r="B19" s="99">
        <f t="shared" si="3"/>
        <v>12</v>
      </c>
      <c r="C19" s="301"/>
      <c r="D19" s="302"/>
      <c r="E19" s="302"/>
      <c r="F19" s="303"/>
      <c r="G19" s="304"/>
      <c r="H19" s="305"/>
      <c r="I19" s="306"/>
      <c r="J19" s="304"/>
      <c r="K19" s="306"/>
      <c r="L19" s="100"/>
      <c r="M19" s="100"/>
      <c r="N19" s="100"/>
      <c r="O19" s="100"/>
      <c r="P19" s="100"/>
      <c r="Q19" s="100"/>
      <c r="R19" s="100"/>
      <c r="S19" s="100"/>
      <c r="T19" s="100"/>
      <c r="U19" s="301"/>
      <c r="V19" s="302"/>
      <c r="W19" s="302"/>
      <c r="X19" s="303"/>
      <c r="Y19" s="98"/>
      <c r="Z19" s="106">
        <f t="shared" si="0"/>
        <v>0</v>
      </c>
      <c r="AA19" s="105">
        <f t="shared" si="1"/>
        <v>0</v>
      </c>
      <c r="AB19" s="105">
        <f t="shared" si="2"/>
        <v>0</v>
      </c>
    </row>
    <row r="20" spans="1:28" x14ac:dyDescent="0.15">
      <c r="A20" s="101"/>
      <c r="B20" s="99">
        <f t="shared" si="3"/>
        <v>13</v>
      </c>
      <c r="C20" s="301"/>
      <c r="D20" s="302"/>
      <c r="E20" s="302"/>
      <c r="F20" s="303"/>
      <c r="G20" s="304"/>
      <c r="H20" s="305"/>
      <c r="I20" s="306"/>
      <c r="J20" s="304"/>
      <c r="K20" s="306"/>
      <c r="L20" s="100"/>
      <c r="M20" s="100"/>
      <c r="N20" s="100"/>
      <c r="O20" s="100"/>
      <c r="P20" s="100"/>
      <c r="Q20" s="100"/>
      <c r="R20" s="100"/>
      <c r="S20" s="100"/>
      <c r="T20" s="100"/>
      <c r="U20" s="301"/>
      <c r="V20" s="302"/>
      <c r="W20" s="302"/>
      <c r="X20" s="303"/>
      <c r="Y20" s="98"/>
      <c r="Z20" s="106">
        <f t="shared" si="0"/>
        <v>0</v>
      </c>
      <c r="AA20" s="105">
        <f t="shared" si="1"/>
        <v>0</v>
      </c>
      <c r="AB20" s="105">
        <f t="shared" si="2"/>
        <v>0</v>
      </c>
    </row>
    <row r="21" spans="1:28" x14ac:dyDescent="0.15">
      <c r="A21" s="101"/>
      <c r="B21" s="99">
        <f t="shared" si="3"/>
        <v>14</v>
      </c>
      <c r="C21" s="301"/>
      <c r="D21" s="302"/>
      <c r="E21" s="302"/>
      <c r="F21" s="303"/>
      <c r="G21" s="304"/>
      <c r="H21" s="305"/>
      <c r="I21" s="306"/>
      <c r="J21" s="304"/>
      <c r="K21" s="306"/>
      <c r="L21" s="100"/>
      <c r="M21" s="100"/>
      <c r="N21" s="100"/>
      <c r="O21" s="100"/>
      <c r="P21" s="100"/>
      <c r="Q21" s="100"/>
      <c r="R21" s="100"/>
      <c r="S21" s="100"/>
      <c r="T21" s="100"/>
      <c r="U21" s="301"/>
      <c r="V21" s="302"/>
      <c r="W21" s="302"/>
      <c r="X21" s="303"/>
      <c r="Y21" s="98"/>
      <c r="Z21" s="106">
        <f t="shared" si="0"/>
        <v>0</v>
      </c>
      <c r="AA21" s="105">
        <f t="shared" si="1"/>
        <v>0</v>
      </c>
      <c r="AB21" s="105">
        <f t="shared" si="2"/>
        <v>0</v>
      </c>
    </row>
    <row r="22" spans="1:28" x14ac:dyDescent="0.15">
      <c r="A22" s="101"/>
      <c r="B22" s="99">
        <f t="shared" si="3"/>
        <v>15</v>
      </c>
      <c r="C22" s="301"/>
      <c r="D22" s="302"/>
      <c r="E22" s="302"/>
      <c r="F22" s="303"/>
      <c r="G22" s="304"/>
      <c r="H22" s="305"/>
      <c r="I22" s="306"/>
      <c r="J22" s="304"/>
      <c r="K22" s="306"/>
      <c r="L22" s="100"/>
      <c r="M22" s="100"/>
      <c r="N22" s="100"/>
      <c r="O22" s="100"/>
      <c r="P22" s="100"/>
      <c r="Q22" s="100"/>
      <c r="R22" s="100"/>
      <c r="S22" s="100"/>
      <c r="T22" s="100"/>
      <c r="U22" s="301"/>
      <c r="V22" s="302"/>
      <c r="W22" s="302"/>
      <c r="X22" s="303"/>
      <c r="Y22" s="98"/>
      <c r="Z22" s="106">
        <f t="shared" si="0"/>
        <v>0</v>
      </c>
      <c r="AA22" s="105">
        <f t="shared" si="1"/>
        <v>0</v>
      </c>
      <c r="AB22" s="105">
        <f t="shared" si="2"/>
        <v>0</v>
      </c>
    </row>
    <row r="23" spans="1:28" x14ac:dyDescent="0.15">
      <c r="A23" s="101"/>
      <c r="B23" s="99">
        <f t="shared" si="3"/>
        <v>16</v>
      </c>
      <c r="C23" s="301"/>
      <c r="D23" s="302"/>
      <c r="E23" s="302"/>
      <c r="F23" s="303"/>
      <c r="G23" s="304"/>
      <c r="H23" s="305"/>
      <c r="I23" s="306"/>
      <c r="J23" s="304"/>
      <c r="K23" s="306"/>
      <c r="L23" s="100"/>
      <c r="M23" s="100"/>
      <c r="N23" s="100"/>
      <c r="O23" s="100"/>
      <c r="P23" s="100"/>
      <c r="Q23" s="100"/>
      <c r="R23" s="100"/>
      <c r="S23" s="100"/>
      <c r="T23" s="100"/>
      <c r="U23" s="301"/>
      <c r="V23" s="302"/>
      <c r="W23" s="302"/>
      <c r="X23" s="303"/>
      <c r="Y23" s="98"/>
      <c r="Z23" s="106">
        <f t="shared" si="0"/>
        <v>0</v>
      </c>
      <c r="AA23" s="105">
        <f t="shared" si="1"/>
        <v>0</v>
      </c>
      <c r="AB23" s="105">
        <f t="shared" si="2"/>
        <v>0</v>
      </c>
    </row>
    <row r="24" spans="1:28" x14ac:dyDescent="0.15">
      <c r="A24" s="101"/>
      <c r="B24" s="99">
        <f t="shared" si="3"/>
        <v>17</v>
      </c>
      <c r="C24" s="301"/>
      <c r="D24" s="302"/>
      <c r="E24" s="302"/>
      <c r="F24" s="303"/>
      <c r="G24" s="304"/>
      <c r="H24" s="305"/>
      <c r="I24" s="306"/>
      <c r="J24" s="304"/>
      <c r="K24" s="306"/>
      <c r="L24" s="100"/>
      <c r="M24" s="100"/>
      <c r="N24" s="100"/>
      <c r="O24" s="100"/>
      <c r="P24" s="100"/>
      <c r="Q24" s="100"/>
      <c r="R24" s="100"/>
      <c r="S24" s="100"/>
      <c r="T24" s="100"/>
      <c r="U24" s="301"/>
      <c r="V24" s="302"/>
      <c r="W24" s="302"/>
      <c r="X24" s="303"/>
      <c r="Y24" s="98"/>
      <c r="Z24" s="106">
        <f t="shared" si="0"/>
        <v>0</v>
      </c>
      <c r="AA24" s="105">
        <f t="shared" si="1"/>
        <v>0</v>
      </c>
      <c r="AB24" s="105">
        <f t="shared" si="2"/>
        <v>0</v>
      </c>
    </row>
    <row r="25" spans="1:28" x14ac:dyDescent="0.15">
      <c r="A25" s="101"/>
      <c r="B25" s="99">
        <f t="shared" si="3"/>
        <v>18</v>
      </c>
      <c r="C25" s="301"/>
      <c r="D25" s="302"/>
      <c r="E25" s="302"/>
      <c r="F25" s="303"/>
      <c r="G25" s="304"/>
      <c r="H25" s="305"/>
      <c r="I25" s="306"/>
      <c r="J25" s="304"/>
      <c r="K25" s="306"/>
      <c r="L25" s="100"/>
      <c r="M25" s="100"/>
      <c r="N25" s="100"/>
      <c r="O25" s="100"/>
      <c r="P25" s="100"/>
      <c r="Q25" s="100"/>
      <c r="R25" s="100"/>
      <c r="S25" s="100"/>
      <c r="T25" s="100"/>
      <c r="U25" s="301"/>
      <c r="V25" s="302"/>
      <c r="W25" s="302"/>
      <c r="X25" s="303"/>
      <c r="Y25" s="98"/>
      <c r="Z25" s="106">
        <f t="shared" si="0"/>
        <v>0</v>
      </c>
      <c r="AA25" s="105">
        <f t="shared" si="1"/>
        <v>0</v>
      </c>
      <c r="AB25" s="105">
        <f t="shared" si="2"/>
        <v>0</v>
      </c>
    </row>
    <row r="26" spans="1:28" x14ac:dyDescent="0.15">
      <c r="A26" s="101"/>
      <c r="B26" s="99">
        <f t="shared" si="3"/>
        <v>19</v>
      </c>
      <c r="C26" s="301"/>
      <c r="D26" s="302"/>
      <c r="E26" s="302"/>
      <c r="F26" s="303"/>
      <c r="G26" s="304"/>
      <c r="H26" s="305"/>
      <c r="I26" s="306"/>
      <c r="J26" s="304"/>
      <c r="K26" s="306"/>
      <c r="L26" s="100"/>
      <c r="M26" s="100"/>
      <c r="N26" s="100"/>
      <c r="O26" s="100"/>
      <c r="P26" s="100"/>
      <c r="Q26" s="100"/>
      <c r="R26" s="100"/>
      <c r="S26" s="100"/>
      <c r="T26" s="100"/>
      <c r="U26" s="301"/>
      <c r="V26" s="302"/>
      <c r="W26" s="302"/>
      <c r="X26" s="303"/>
      <c r="Y26" s="98"/>
      <c r="Z26" s="106">
        <f t="shared" si="0"/>
        <v>0</v>
      </c>
      <c r="AA26" s="105">
        <f t="shared" si="1"/>
        <v>0</v>
      </c>
      <c r="AB26" s="105">
        <f t="shared" si="2"/>
        <v>0</v>
      </c>
    </row>
    <row r="27" spans="1:28" x14ac:dyDescent="0.15">
      <c r="A27" s="101"/>
      <c r="B27" s="99">
        <f t="shared" si="3"/>
        <v>20</v>
      </c>
      <c r="C27" s="301"/>
      <c r="D27" s="302"/>
      <c r="E27" s="302"/>
      <c r="F27" s="303"/>
      <c r="G27" s="304"/>
      <c r="H27" s="305"/>
      <c r="I27" s="306"/>
      <c r="J27" s="304"/>
      <c r="K27" s="306"/>
      <c r="L27" s="100"/>
      <c r="M27" s="100"/>
      <c r="N27" s="100"/>
      <c r="O27" s="100"/>
      <c r="P27" s="100"/>
      <c r="Q27" s="100"/>
      <c r="R27" s="100"/>
      <c r="S27" s="100"/>
      <c r="T27" s="100"/>
      <c r="U27" s="301"/>
      <c r="V27" s="302"/>
      <c r="W27" s="302"/>
      <c r="X27" s="303"/>
      <c r="Y27" s="98"/>
      <c r="Z27" s="106">
        <f t="shared" si="0"/>
        <v>0</v>
      </c>
      <c r="AA27" s="105">
        <f t="shared" si="1"/>
        <v>0</v>
      </c>
      <c r="AB27" s="105">
        <f t="shared" si="2"/>
        <v>0</v>
      </c>
    </row>
    <row r="28" spans="1:28" x14ac:dyDescent="0.15">
      <c r="A28" s="101"/>
      <c r="B28" s="99">
        <f t="shared" si="3"/>
        <v>21</v>
      </c>
      <c r="C28" s="301"/>
      <c r="D28" s="302"/>
      <c r="E28" s="302"/>
      <c r="F28" s="303"/>
      <c r="G28" s="304"/>
      <c r="H28" s="305"/>
      <c r="I28" s="306"/>
      <c r="J28" s="304"/>
      <c r="K28" s="306"/>
      <c r="L28" s="100"/>
      <c r="M28" s="100"/>
      <c r="N28" s="100"/>
      <c r="O28" s="100"/>
      <c r="P28" s="100"/>
      <c r="Q28" s="100"/>
      <c r="R28" s="100"/>
      <c r="S28" s="100"/>
      <c r="T28" s="100"/>
      <c r="U28" s="301"/>
      <c r="V28" s="302"/>
      <c r="W28" s="302"/>
      <c r="X28" s="303"/>
      <c r="Y28" s="98"/>
      <c r="Z28" s="106">
        <f t="shared" si="0"/>
        <v>0</v>
      </c>
      <c r="AA28" s="105">
        <f t="shared" si="1"/>
        <v>0</v>
      </c>
      <c r="AB28" s="105">
        <f t="shared" si="2"/>
        <v>0</v>
      </c>
    </row>
    <row r="29" spans="1:28" x14ac:dyDescent="0.15">
      <c r="A29" s="101"/>
      <c r="B29" s="99">
        <f t="shared" si="3"/>
        <v>22</v>
      </c>
      <c r="C29" s="301"/>
      <c r="D29" s="302"/>
      <c r="E29" s="302"/>
      <c r="F29" s="303"/>
      <c r="G29" s="304"/>
      <c r="H29" s="305"/>
      <c r="I29" s="306"/>
      <c r="J29" s="304"/>
      <c r="K29" s="306"/>
      <c r="L29" s="100"/>
      <c r="M29" s="100"/>
      <c r="N29" s="100"/>
      <c r="O29" s="100"/>
      <c r="P29" s="100"/>
      <c r="Q29" s="100"/>
      <c r="R29" s="100"/>
      <c r="S29" s="100"/>
      <c r="T29" s="100"/>
      <c r="U29" s="301"/>
      <c r="V29" s="302"/>
      <c r="W29" s="302"/>
      <c r="X29" s="303"/>
      <c r="Y29" s="98"/>
      <c r="Z29" s="106">
        <f t="shared" si="0"/>
        <v>0</v>
      </c>
      <c r="AA29" s="105">
        <f t="shared" si="1"/>
        <v>0</v>
      </c>
      <c r="AB29" s="105">
        <f t="shared" si="2"/>
        <v>0</v>
      </c>
    </row>
    <row r="30" spans="1:28" x14ac:dyDescent="0.15">
      <c r="A30" s="101"/>
      <c r="B30" s="99">
        <f t="shared" si="3"/>
        <v>23</v>
      </c>
      <c r="C30" s="301"/>
      <c r="D30" s="302"/>
      <c r="E30" s="302"/>
      <c r="F30" s="303"/>
      <c r="G30" s="304"/>
      <c r="H30" s="305"/>
      <c r="I30" s="306"/>
      <c r="J30" s="304"/>
      <c r="K30" s="306"/>
      <c r="L30" s="100"/>
      <c r="M30" s="100"/>
      <c r="N30" s="100"/>
      <c r="O30" s="100"/>
      <c r="P30" s="100"/>
      <c r="Q30" s="100"/>
      <c r="R30" s="100"/>
      <c r="S30" s="100"/>
      <c r="T30" s="100"/>
      <c r="U30" s="301"/>
      <c r="V30" s="302"/>
      <c r="W30" s="302"/>
      <c r="X30" s="303"/>
      <c r="Y30" s="98"/>
      <c r="Z30" s="106">
        <f t="shared" si="0"/>
        <v>0</v>
      </c>
      <c r="AA30" s="105">
        <f t="shared" si="1"/>
        <v>0</v>
      </c>
      <c r="AB30" s="105">
        <f t="shared" si="2"/>
        <v>0</v>
      </c>
    </row>
    <row r="31" spans="1:28" x14ac:dyDescent="0.15">
      <c r="A31" s="101"/>
      <c r="B31" s="99">
        <f t="shared" si="3"/>
        <v>24</v>
      </c>
      <c r="C31" s="301"/>
      <c r="D31" s="302"/>
      <c r="E31" s="302"/>
      <c r="F31" s="303"/>
      <c r="G31" s="304"/>
      <c r="H31" s="305"/>
      <c r="I31" s="306"/>
      <c r="J31" s="304"/>
      <c r="K31" s="306"/>
      <c r="L31" s="100"/>
      <c r="M31" s="100"/>
      <c r="N31" s="100"/>
      <c r="O31" s="100"/>
      <c r="P31" s="100"/>
      <c r="Q31" s="100"/>
      <c r="R31" s="100"/>
      <c r="S31" s="100"/>
      <c r="T31" s="100"/>
      <c r="U31" s="301"/>
      <c r="V31" s="302"/>
      <c r="W31" s="302"/>
      <c r="X31" s="303"/>
      <c r="Y31" s="98"/>
      <c r="Z31" s="106">
        <f t="shared" si="0"/>
        <v>0</v>
      </c>
      <c r="AA31" s="105">
        <f t="shared" si="1"/>
        <v>0</v>
      </c>
      <c r="AB31" s="105">
        <f t="shared" si="2"/>
        <v>0</v>
      </c>
    </row>
    <row r="32" spans="1:28" x14ac:dyDescent="0.15">
      <c r="A32" s="101"/>
      <c r="B32" s="99">
        <f t="shared" si="3"/>
        <v>25</v>
      </c>
      <c r="C32" s="301"/>
      <c r="D32" s="302"/>
      <c r="E32" s="302"/>
      <c r="F32" s="303"/>
      <c r="G32" s="304"/>
      <c r="H32" s="305"/>
      <c r="I32" s="306"/>
      <c r="J32" s="304"/>
      <c r="K32" s="306"/>
      <c r="L32" s="100"/>
      <c r="M32" s="100"/>
      <c r="N32" s="100"/>
      <c r="O32" s="100"/>
      <c r="P32" s="100"/>
      <c r="Q32" s="100"/>
      <c r="R32" s="100"/>
      <c r="S32" s="100"/>
      <c r="T32" s="100"/>
      <c r="U32" s="301"/>
      <c r="V32" s="302"/>
      <c r="W32" s="302"/>
      <c r="X32" s="303"/>
      <c r="Y32" s="98"/>
      <c r="Z32" s="106">
        <f t="shared" si="0"/>
        <v>0</v>
      </c>
      <c r="AA32" s="105">
        <f t="shared" si="1"/>
        <v>0</v>
      </c>
      <c r="AB32" s="105">
        <f t="shared" si="2"/>
        <v>0</v>
      </c>
    </row>
    <row r="33" spans="1:28" x14ac:dyDescent="0.15">
      <c r="A33" s="101"/>
      <c r="B33" s="99">
        <f t="shared" si="3"/>
        <v>26</v>
      </c>
      <c r="C33" s="301"/>
      <c r="D33" s="302"/>
      <c r="E33" s="302"/>
      <c r="F33" s="303"/>
      <c r="G33" s="304"/>
      <c r="H33" s="305"/>
      <c r="I33" s="306"/>
      <c r="J33" s="304"/>
      <c r="K33" s="306"/>
      <c r="L33" s="100"/>
      <c r="M33" s="100"/>
      <c r="N33" s="100"/>
      <c r="O33" s="100"/>
      <c r="P33" s="100"/>
      <c r="Q33" s="100"/>
      <c r="R33" s="100"/>
      <c r="S33" s="100"/>
      <c r="T33" s="100"/>
      <c r="U33" s="301"/>
      <c r="V33" s="302"/>
      <c r="W33" s="302"/>
      <c r="X33" s="303"/>
      <c r="Y33" s="98"/>
      <c r="Z33" s="106">
        <f t="shared" si="0"/>
        <v>0</v>
      </c>
      <c r="AA33" s="105">
        <f t="shared" si="1"/>
        <v>0</v>
      </c>
      <c r="AB33" s="105">
        <f t="shared" si="2"/>
        <v>0</v>
      </c>
    </row>
    <row r="34" spans="1:28" x14ac:dyDescent="0.15">
      <c r="A34" s="101"/>
      <c r="B34" s="99">
        <f t="shared" si="3"/>
        <v>27</v>
      </c>
      <c r="C34" s="301"/>
      <c r="D34" s="302"/>
      <c r="E34" s="302"/>
      <c r="F34" s="303"/>
      <c r="G34" s="304"/>
      <c r="H34" s="305"/>
      <c r="I34" s="306"/>
      <c r="J34" s="304"/>
      <c r="K34" s="306"/>
      <c r="L34" s="100"/>
      <c r="M34" s="100"/>
      <c r="N34" s="100"/>
      <c r="O34" s="100"/>
      <c r="P34" s="100"/>
      <c r="Q34" s="100"/>
      <c r="R34" s="100"/>
      <c r="S34" s="100"/>
      <c r="T34" s="100"/>
      <c r="U34" s="301"/>
      <c r="V34" s="302"/>
      <c r="W34" s="302"/>
      <c r="X34" s="303"/>
      <c r="Y34" s="98"/>
      <c r="Z34" s="106">
        <f t="shared" si="0"/>
        <v>0</v>
      </c>
      <c r="AA34" s="105">
        <f t="shared" si="1"/>
        <v>0</v>
      </c>
      <c r="AB34" s="105">
        <f t="shared" si="2"/>
        <v>0</v>
      </c>
    </row>
    <row r="35" spans="1:28" x14ac:dyDescent="0.15">
      <c r="A35" s="101"/>
      <c r="B35" s="99">
        <f t="shared" si="3"/>
        <v>28</v>
      </c>
      <c r="C35" s="301"/>
      <c r="D35" s="302"/>
      <c r="E35" s="302"/>
      <c r="F35" s="303"/>
      <c r="G35" s="304"/>
      <c r="H35" s="305"/>
      <c r="I35" s="306"/>
      <c r="J35" s="304"/>
      <c r="K35" s="306"/>
      <c r="L35" s="100"/>
      <c r="M35" s="100"/>
      <c r="N35" s="100"/>
      <c r="O35" s="100"/>
      <c r="P35" s="100"/>
      <c r="Q35" s="100"/>
      <c r="R35" s="100"/>
      <c r="S35" s="100"/>
      <c r="T35" s="100"/>
      <c r="U35" s="301"/>
      <c r="V35" s="302"/>
      <c r="W35" s="302"/>
      <c r="X35" s="303"/>
      <c r="Y35" s="98"/>
      <c r="Z35" s="106">
        <f t="shared" si="0"/>
        <v>0</v>
      </c>
      <c r="AA35" s="105">
        <f t="shared" si="1"/>
        <v>0</v>
      </c>
      <c r="AB35" s="105">
        <f t="shared" si="2"/>
        <v>0</v>
      </c>
    </row>
    <row r="36" spans="1:28" x14ac:dyDescent="0.15">
      <c r="A36" s="101"/>
      <c r="B36" s="99">
        <f t="shared" si="3"/>
        <v>29</v>
      </c>
      <c r="C36" s="301"/>
      <c r="D36" s="302"/>
      <c r="E36" s="302"/>
      <c r="F36" s="303"/>
      <c r="G36" s="304"/>
      <c r="H36" s="305"/>
      <c r="I36" s="306"/>
      <c r="J36" s="304"/>
      <c r="K36" s="306"/>
      <c r="L36" s="100"/>
      <c r="M36" s="100"/>
      <c r="N36" s="100"/>
      <c r="O36" s="100"/>
      <c r="P36" s="100"/>
      <c r="Q36" s="100"/>
      <c r="R36" s="100"/>
      <c r="S36" s="100"/>
      <c r="T36" s="100"/>
      <c r="U36" s="301"/>
      <c r="V36" s="302"/>
      <c r="W36" s="302"/>
      <c r="X36" s="303"/>
      <c r="Y36" s="98"/>
      <c r="Z36" s="106">
        <f t="shared" si="0"/>
        <v>0</v>
      </c>
      <c r="AA36" s="105">
        <f t="shared" si="1"/>
        <v>0</v>
      </c>
      <c r="AB36" s="105">
        <f t="shared" si="2"/>
        <v>0</v>
      </c>
    </row>
    <row r="37" spans="1:28" x14ac:dyDescent="0.15">
      <c r="A37" s="101"/>
      <c r="B37" s="99">
        <f t="shared" si="3"/>
        <v>30</v>
      </c>
      <c r="C37" s="301"/>
      <c r="D37" s="302"/>
      <c r="E37" s="302"/>
      <c r="F37" s="303"/>
      <c r="G37" s="304"/>
      <c r="H37" s="305"/>
      <c r="I37" s="306"/>
      <c r="J37" s="304"/>
      <c r="K37" s="306"/>
      <c r="L37" s="100"/>
      <c r="M37" s="100"/>
      <c r="N37" s="100"/>
      <c r="O37" s="100"/>
      <c r="P37" s="100"/>
      <c r="Q37" s="100"/>
      <c r="R37" s="100"/>
      <c r="S37" s="100"/>
      <c r="T37" s="100"/>
      <c r="U37" s="301"/>
      <c r="V37" s="302"/>
      <c r="W37" s="302"/>
      <c r="X37" s="303"/>
      <c r="Y37" s="98"/>
      <c r="Z37" s="106">
        <f t="shared" si="0"/>
        <v>0</v>
      </c>
      <c r="AA37" s="105">
        <f t="shared" si="1"/>
        <v>0</v>
      </c>
      <c r="AB37" s="105">
        <f t="shared" si="2"/>
        <v>0</v>
      </c>
    </row>
    <row r="38" spans="1:28" x14ac:dyDescent="0.15">
      <c r="A38" s="101"/>
      <c r="B38" s="298" t="s">
        <v>122</v>
      </c>
      <c r="C38" s="299"/>
      <c r="D38" s="299"/>
      <c r="E38" s="299"/>
      <c r="F38" s="299"/>
      <c r="G38" s="299"/>
      <c r="H38" s="299"/>
      <c r="I38" s="299"/>
      <c r="J38" s="299"/>
      <c r="K38" s="299"/>
      <c r="L38" s="299"/>
      <c r="M38" s="299"/>
      <c r="N38" s="299"/>
      <c r="O38" s="299"/>
      <c r="P38" s="299"/>
      <c r="Q38" s="299"/>
      <c r="R38" s="299"/>
      <c r="S38" s="299"/>
      <c r="T38" s="299"/>
      <c r="U38" s="299"/>
      <c r="V38" s="299"/>
      <c r="W38" s="299"/>
      <c r="X38" s="300"/>
      <c r="Y38" s="98"/>
      <c r="Z38" s="92"/>
    </row>
    <row r="39" spans="1:28" x14ac:dyDescent="0.15">
      <c r="A39" s="101"/>
      <c r="B39" s="101" t="s">
        <v>291</v>
      </c>
      <c r="C39" s="92"/>
      <c r="D39" s="92"/>
      <c r="E39" s="92"/>
      <c r="F39" s="92"/>
      <c r="G39" s="92"/>
      <c r="H39" s="92"/>
      <c r="I39" s="92"/>
      <c r="J39" s="92"/>
      <c r="K39" s="92"/>
      <c r="L39" s="92"/>
      <c r="M39" s="92"/>
      <c r="N39" s="92"/>
      <c r="O39" s="92"/>
      <c r="P39" s="92"/>
      <c r="Q39" s="92"/>
      <c r="R39" s="92"/>
      <c r="S39" s="92"/>
      <c r="T39" s="92"/>
      <c r="U39" s="92"/>
      <c r="V39" s="92"/>
      <c r="W39" s="92"/>
      <c r="X39" s="98"/>
      <c r="Y39" s="98"/>
      <c r="Z39" s="92"/>
    </row>
    <row r="40" spans="1:28" x14ac:dyDescent="0.15">
      <c r="A40" s="101"/>
      <c r="B40" s="101"/>
      <c r="C40" s="92"/>
      <c r="D40" s="92"/>
      <c r="E40" s="92"/>
      <c r="F40" s="92"/>
      <c r="G40" s="92"/>
      <c r="H40" s="92"/>
      <c r="I40" s="92"/>
      <c r="J40" s="92"/>
      <c r="K40" s="92"/>
      <c r="L40" s="92"/>
      <c r="M40" s="92"/>
      <c r="N40" s="92"/>
      <c r="O40" s="92"/>
      <c r="P40" s="92"/>
      <c r="Q40" s="92"/>
      <c r="R40" s="92"/>
      <c r="S40" s="92"/>
      <c r="T40" s="92"/>
      <c r="U40" s="92"/>
      <c r="V40" s="92"/>
      <c r="W40" s="92"/>
      <c r="X40" s="98"/>
      <c r="Y40" s="98"/>
      <c r="Z40" s="92"/>
    </row>
    <row r="41" spans="1:28" x14ac:dyDescent="0.15">
      <c r="A41" s="101"/>
      <c r="B41" s="101"/>
      <c r="C41" s="92"/>
      <c r="D41" s="92"/>
      <c r="E41" s="92"/>
      <c r="F41" s="92"/>
      <c r="G41" s="92"/>
      <c r="H41" s="92"/>
      <c r="I41" s="92"/>
      <c r="J41" s="92"/>
      <c r="K41" s="92"/>
      <c r="L41" s="92"/>
      <c r="M41" s="92"/>
      <c r="N41" s="92"/>
      <c r="O41" s="92"/>
      <c r="P41" s="92"/>
      <c r="Q41" s="92"/>
      <c r="R41" s="92"/>
      <c r="S41" s="92"/>
      <c r="T41" s="92"/>
      <c r="U41" s="92"/>
      <c r="V41" s="92"/>
      <c r="W41" s="92"/>
      <c r="X41" s="98"/>
      <c r="Y41" s="98"/>
      <c r="Z41" s="92"/>
    </row>
    <row r="42" spans="1:28" x14ac:dyDescent="0.15">
      <c r="A42" s="101"/>
      <c r="B42" s="102"/>
      <c r="C42" s="93"/>
      <c r="D42" s="93"/>
      <c r="E42" s="93"/>
      <c r="F42" s="93"/>
      <c r="G42" s="93"/>
      <c r="H42" s="93"/>
      <c r="I42" s="93"/>
      <c r="J42" s="93"/>
      <c r="K42" s="93"/>
      <c r="L42" s="93"/>
      <c r="M42" s="93"/>
      <c r="N42" s="93"/>
      <c r="O42" s="93"/>
      <c r="P42" s="93"/>
      <c r="Q42" s="93"/>
      <c r="R42" s="93"/>
      <c r="S42" s="93"/>
      <c r="T42" s="93"/>
      <c r="U42" s="93"/>
      <c r="V42" s="93"/>
      <c r="W42" s="93"/>
      <c r="X42" s="103"/>
      <c r="Y42" s="98"/>
      <c r="Z42" s="92"/>
    </row>
    <row r="43" spans="1:28" x14ac:dyDescent="0.15">
      <c r="A43" s="102"/>
      <c r="B43" s="93"/>
      <c r="C43" s="93"/>
      <c r="D43" s="93"/>
      <c r="E43" s="93"/>
      <c r="F43" s="93"/>
      <c r="G43" s="93"/>
      <c r="H43" s="93"/>
      <c r="I43" s="93"/>
      <c r="J43" s="93"/>
      <c r="K43" s="93"/>
      <c r="L43" s="93"/>
      <c r="M43" s="93"/>
      <c r="N43" s="93"/>
      <c r="O43" s="93"/>
      <c r="P43" s="93"/>
      <c r="Q43" s="93"/>
      <c r="R43" s="93"/>
      <c r="S43" s="93"/>
      <c r="T43" s="93"/>
      <c r="U43" s="93"/>
      <c r="V43" s="93"/>
      <c r="W43" s="93"/>
      <c r="X43" s="93"/>
      <c r="Y43" s="103"/>
      <c r="Z43" s="92"/>
    </row>
  </sheetData>
  <mergeCells count="138">
    <mergeCell ref="C7:F7"/>
    <mergeCell ref="G7:I7"/>
    <mergeCell ref="J7:K7"/>
    <mergeCell ref="U7:X7"/>
    <mergeCell ref="A1:F2"/>
    <mergeCell ref="G1:I1"/>
    <mergeCell ref="P1:Q1"/>
    <mergeCell ref="C8:F8"/>
    <mergeCell ref="G8:I8"/>
    <mergeCell ref="J8:K8"/>
    <mergeCell ref="U8:X8"/>
    <mergeCell ref="R1:T1"/>
    <mergeCell ref="U1:V1"/>
    <mergeCell ref="W1:Y1"/>
    <mergeCell ref="G2:I2"/>
    <mergeCell ref="P2:Q3"/>
    <mergeCell ref="R2:T3"/>
    <mergeCell ref="U2:V3"/>
    <mergeCell ref="W2:Y3"/>
    <mergeCell ref="A3:B3"/>
    <mergeCell ref="G3:I3"/>
    <mergeCell ref="C9:F9"/>
    <mergeCell ref="G9:I9"/>
    <mergeCell ref="J9:K9"/>
    <mergeCell ref="U9:X9"/>
    <mergeCell ref="C10:F10"/>
    <mergeCell ref="G10:I10"/>
    <mergeCell ref="J10:K10"/>
    <mergeCell ref="U10:X10"/>
    <mergeCell ref="C11:F11"/>
    <mergeCell ref="G11:I11"/>
    <mergeCell ref="J11:K11"/>
    <mergeCell ref="U11:X11"/>
    <mergeCell ref="C12:F12"/>
    <mergeCell ref="G12:I12"/>
    <mergeCell ref="J12:K12"/>
    <mergeCell ref="U12:X12"/>
    <mergeCell ref="C13:F13"/>
    <mergeCell ref="G13:I13"/>
    <mergeCell ref="J13:K13"/>
    <mergeCell ref="U13:X13"/>
    <mergeCell ref="C14:F14"/>
    <mergeCell ref="G14:I14"/>
    <mergeCell ref="J14:K14"/>
    <mergeCell ref="U14:X14"/>
    <mergeCell ref="C15:F15"/>
    <mergeCell ref="G15:I15"/>
    <mergeCell ref="J15:K15"/>
    <mergeCell ref="U15:X15"/>
    <mergeCell ref="C16:F16"/>
    <mergeCell ref="G16:I16"/>
    <mergeCell ref="J16:K16"/>
    <mergeCell ref="U16:X16"/>
    <mergeCell ref="C17:F17"/>
    <mergeCell ref="G17:I17"/>
    <mergeCell ref="J17:K17"/>
    <mergeCell ref="U17:X17"/>
    <mergeCell ref="C18:F18"/>
    <mergeCell ref="G18:I18"/>
    <mergeCell ref="J18:K18"/>
    <mergeCell ref="U18:X18"/>
    <mergeCell ref="C19:F19"/>
    <mergeCell ref="G19:I19"/>
    <mergeCell ref="J19:K19"/>
    <mergeCell ref="U19:X19"/>
    <mergeCell ref="C20:F20"/>
    <mergeCell ref="G20:I20"/>
    <mergeCell ref="J20:K20"/>
    <mergeCell ref="U20:X20"/>
    <mergeCell ref="C21:F21"/>
    <mergeCell ref="G21:I21"/>
    <mergeCell ref="J21:K21"/>
    <mergeCell ref="U21:X21"/>
    <mergeCell ref="C22:F22"/>
    <mergeCell ref="G22:I22"/>
    <mergeCell ref="J22:K22"/>
    <mergeCell ref="U22:X22"/>
    <mergeCell ref="C23:F23"/>
    <mergeCell ref="G23:I23"/>
    <mergeCell ref="J23:K23"/>
    <mergeCell ref="U23:X23"/>
    <mergeCell ref="C24:F24"/>
    <mergeCell ref="G24:I24"/>
    <mergeCell ref="J24:K24"/>
    <mergeCell ref="U24:X24"/>
    <mergeCell ref="C25:F25"/>
    <mergeCell ref="G25:I25"/>
    <mergeCell ref="J25:K25"/>
    <mergeCell ref="U25:X25"/>
    <mergeCell ref="C26:F26"/>
    <mergeCell ref="G26:I26"/>
    <mergeCell ref="J26:K26"/>
    <mergeCell ref="U26:X26"/>
    <mergeCell ref="C27:F27"/>
    <mergeCell ref="G27:I27"/>
    <mergeCell ref="J27:K27"/>
    <mergeCell ref="U27:X27"/>
    <mergeCell ref="C28:F28"/>
    <mergeCell ref="G28:I28"/>
    <mergeCell ref="J28:K28"/>
    <mergeCell ref="U28:X28"/>
    <mergeCell ref="C29:F29"/>
    <mergeCell ref="G29:I29"/>
    <mergeCell ref="J29:K29"/>
    <mergeCell ref="U29:X29"/>
    <mergeCell ref="C30:F30"/>
    <mergeCell ref="G30:I30"/>
    <mergeCell ref="J30:K30"/>
    <mergeCell ref="U30:X30"/>
    <mergeCell ref="C31:F31"/>
    <mergeCell ref="G31:I31"/>
    <mergeCell ref="J31:K31"/>
    <mergeCell ref="U31:X31"/>
    <mergeCell ref="C32:F32"/>
    <mergeCell ref="G32:I32"/>
    <mergeCell ref="J32:K32"/>
    <mergeCell ref="U32:X32"/>
    <mergeCell ref="C33:F33"/>
    <mergeCell ref="G33:I33"/>
    <mergeCell ref="J33:K33"/>
    <mergeCell ref="U33:X33"/>
    <mergeCell ref="C34:F34"/>
    <mergeCell ref="G34:I34"/>
    <mergeCell ref="J34:K34"/>
    <mergeCell ref="U34:X34"/>
    <mergeCell ref="C35:F35"/>
    <mergeCell ref="G35:I35"/>
    <mergeCell ref="J35:K35"/>
    <mergeCell ref="U35:X35"/>
    <mergeCell ref="B38:X38"/>
    <mergeCell ref="C36:F36"/>
    <mergeCell ref="G36:I36"/>
    <mergeCell ref="J36:K36"/>
    <mergeCell ref="U36:X36"/>
    <mergeCell ref="C37:F37"/>
    <mergeCell ref="G37:I37"/>
    <mergeCell ref="J37:K37"/>
    <mergeCell ref="U37:X37"/>
  </mergeCells>
  <phoneticPr fontId="1"/>
  <conditionalFormatting sqref="J17:K37">
    <cfRule type="expression" dxfId="614" priority="28">
      <formula>ISERROR(AB17)</formula>
    </cfRule>
    <cfRule type="expression" dxfId="613" priority="29">
      <formula>ISBLANK(AB17)</formula>
    </cfRule>
    <cfRule type="expression" dxfId="612" priority="30">
      <formula>AND(J17&lt;&gt;"",AB17&lt;=0)</formula>
    </cfRule>
  </conditionalFormatting>
  <conditionalFormatting sqref="J12:K12">
    <cfRule type="expression" dxfId="611" priority="22">
      <formula>ISERROR(AB12)</formula>
    </cfRule>
    <cfRule type="expression" dxfId="610" priority="23">
      <formula>ISBLANK(AB12)</formula>
    </cfRule>
    <cfRule type="expression" dxfId="609" priority="24">
      <formula>AND(J12&lt;&gt;"",AB12&lt;=0)</formula>
    </cfRule>
  </conditionalFormatting>
  <conditionalFormatting sqref="J13:K13">
    <cfRule type="expression" dxfId="608" priority="19">
      <formula>ISERROR(AB13)</formula>
    </cfRule>
    <cfRule type="expression" dxfId="607" priority="20">
      <formula>ISBLANK(AB13)</formula>
    </cfRule>
    <cfRule type="expression" dxfId="606" priority="21">
      <formula>AND(J13&lt;&gt;"",AB13&lt;=0)</formula>
    </cfRule>
  </conditionalFormatting>
  <conditionalFormatting sqref="J14:K15">
    <cfRule type="expression" dxfId="605" priority="16">
      <formula>ISERROR(AB14)</formula>
    </cfRule>
    <cfRule type="expression" dxfId="604" priority="17">
      <formula>ISBLANK(AB14)</formula>
    </cfRule>
    <cfRule type="expression" dxfId="603" priority="18">
      <formula>AND(J14&lt;&gt;"",AB14&lt;=0)</formula>
    </cfRule>
  </conditionalFormatting>
  <conditionalFormatting sqref="J16:K16">
    <cfRule type="expression" dxfId="602" priority="13">
      <formula>ISERROR(AB16)</formula>
    </cfRule>
    <cfRule type="expression" dxfId="601" priority="14">
      <formula>ISBLANK(AB16)</formula>
    </cfRule>
    <cfRule type="expression" dxfId="600" priority="15">
      <formula>AND(J16&lt;&gt;"",AB16&lt;=0)</formula>
    </cfRule>
  </conditionalFormatting>
  <conditionalFormatting sqref="J10:K11">
    <cfRule type="expression" dxfId="599" priority="7">
      <formula>ISERROR(AB10)</formula>
    </cfRule>
    <cfRule type="expression" dxfId="598" priority="8">
      <formula>ISBLANK(AB10)</formula>
    </cfRule>
    <cfRule type="expression" dxfId="597" priority="9">
      <formula>AND(J10&lt;&gt;"",AB10&lt;=0)</formula>
    </cfRule>
  </conditionalFormatting>
  <conditionalFormatting sqref="J9:K9">
    <cfRule type="expression" dxfId="596" priority="4">
      <formula>ISERROR(AB9)</formula>
    </cfRule>
    <cfRule type="expression" dxfId="595" priority="5">
      <formula>ISBLANK(AB9)</formula>
    </cfRule>
    <cfRule type="expression" dxfId="594" priority="6">
      <formula>AND(J9&lt;&gt;"",AB9&lt;=0)</formula>
    </cfRule>
  </conditionalFormatting>
  <conditionalFormatting sqref="J8:K8">
    <cfRule type="expression" dxfId="593" priority="1">
      <formula>ISERROR(AB8)</formula>
    </cfRule>
    <cfRule type="expression" dxfId="592" priority="2">
      <formula>ISBLANK(AB8)</formula>
    </cfRule>
    <cfRule type="expression" dxfId="591" priority="3">
      <formula>AND(J8&lt;&gt;"",AB8&lt;=0)</formula>
    </cfRule>
  </conditionalFormatting>
  <printOptions horizontalCentered="1"/>
  <pageMargins left="0.23622047244094491" right="0.23622047244094491" top="0.39370078740157483" bottom="0.39370078740157483" header="0" footer="0"/>
  <pageSetup paperSize="9" fitToHeight="0" orientation="landscape" r:id="rId1"/>
  <headerFooter alignWithMargins="0">
    <oddFooter>&amp;L&amp;F&amp;R&amp;P / &amp;N</oddFooter>
  </headerFooter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19A842-3DBD-41E7-9839-E74B8FD63DC1}">
  <sheetPr codeName="Sheet37"/>
  <dimension ref="A1:AE43"/>
  <sheetViews>
    <sheetView showGridLines="0" view="pageBreakPreview" zoomScale="90" zoomScaleNormal="85" zoomScaleSheetLayoutView="90" workbookViewId="0">
      <selection activeCell="L33" sqref="L33"/>
    </sheetView>
  </sheetViews>
  <sheetFormatPr defaultColWidth="5.625" defaultRowHeight="13.5" x14ac:dyDescent="0.15"/>
  <cols>
    <col min="1" max="16" width="5.625" style="12" customWidth="1"/>
    <col min="17" max="25" width="5.625" style="12"/>
    <col min="26" max="26" width="12.75" style="96" bestFit="1" customWidth="1"/>
    <col min="27" max="27" width="12.75" style="12" bestFit="1" customWidth="1"/>
    <col min="28" max="28" width="18.375" style="12" bestFit="1" customWidth="1"/>
    <col min="29" max="238" width="5.625" style="12"/>
    <col min="239" max="254" width="5.625" style="12" customWidth="1"/>
    <col min="255" max="494" width="5.625" style="12"/>
    <col min="495" max="510" width="5.625" style="12" customWidth="1"/>
    <col min="511" max="750" width="5.625" style="12"/>
    <col min="751" max="766" width="5.625" style="12" customWidth="1"/>
    <col min="767" max="1006" width="5.625" style="12"/>
    <col min="1007" max="1022" width="5.625" style="12" customWidth="1"/>
    <col min="1023" max="1262" width="5.625" style="12"/>
    <col min="1263" max="1278" width="5.625" style="12" customWidth="1"/>
    <col min="1279" max="1518" width="5.625" style="12"/>
    <col min="1519" max="1534" width="5.625" style="12" customWidth="1"/>
    <col min="1535" max="1774" width="5.625" style="12"/>
    <col min="1775" max="1790" width="5.625" style="12" customWidth="1"/>
    <col min="1791" max="2030" width="5.625" style="12"/>
    <col min="2031" max="2046" width="5.625" style="12" customWidth="1"/>
    <col min="2047" max="2286" width="5.625" style="12"/>
    <col min="2287" max="2302" width="5.625" style="12" customWidth="1"/>
    <col min="2303" max="2542" width="5.625" style="12"/>
    <col min="2543" max="2558" width="5.625" style="12" customWidth="1"/>
    <col min="2559" max="2798" width="5.625" style="12"/>
    <col min="2799" max="2814" width="5.625" style="12" customWidth="1"/>
    <col min="2815" max="3054" width="5.625" style="12"/>
    <col min="3055" max="3070" width="5.625" style="12" customWidth="1"/>
    <col min="3071" max="3310" width="5.625" style="12"/>
    <col min="3311" max="3326" width="5.625" style="12" customWidth="1"/>
    <col min="3327" max="3566" width="5.625" style="12"/>
    <col min="3567" max="3582" width="5.625" style="12" customWidth="1"/>
    <col min="3583" max="3822" width="5.625" style="12"/>
    <col min="3823" max="3838" width="5.625" style="12" customWidth="1"/>
    <col min="3839" max="4078" width="5.625" style="12"/>
    <col min="4079" max="4094" width="5.625" style="12" customWidth="1"/>
    <col min="4095" max="4334" width="5.625" style="12"/>
    <col min="4335" max="4350" width="5.625" style="12" customWidth="1"/>
    <col min="4351" max="4590" width="5.625" style="12"/>
    <col min="4591" max="4606" width="5.625" style="12" customWidth="1"/>
    <col min="4607" max="4846" width="5.625" style="12"/>
    <col min="4847" max="4862" width="5.625" style="12" customWidth="1"/>
    <col min="4863" max="5102" width="5.625" style="12"/>
    <col min="5103" max="5118" width="5.625" style="12" customWidth="1"/>
    <col min="5119" max="5358" width="5.625" style="12"/>
    <col min="5359" max="5374" width="5.625" style="12" customWidth="1"/>
    <col min="5375" max="5614" width="5.625" style="12"/>
    <col min="5615" max="5630" width="5.625" style="12" customWidth="1"/>
    <col min="5631" max="5870" width="5.625" style="12"/>
    <col min="5871" max="5886" width="5.625" style="12" customWidth="1"/>
    <col min="5887" max="6126" width="5.625" style="12"/>
    <col min="6127" max="6142" width="5.625" style="12" customWidth="1"/>
    <col min="6143" max="6382" width="5.625" style="12"/>
    <col min="6383" max="6398" width="5.625" style="12" customWidth="1"/>
    <col min="6399" max="6638" width="5.625" style="12"/>
    <col min="6639" max="6654" width="5.625" style="12" customWidth="1"/>
    <col min="6655" max="6894" width="5.625" style="12"/>
    <col min="6895" max="6910" width="5.625" style="12" customWidth="1"/>
    <col min="6911" max="7150" width="5.625" style="12"/>
    <col min="7151" max="7166" width="5.625" style="12" customWidth="1"/>
    <col min="7167" max="7406" width="5.625" style="12"/>
    <col min="7407" max="7422" width="5.625" style="12" customWidth="1"/>
    <col min="7423" max="7662" width="5.625" style="12"/>
    <col min="7663" max="7678" width="5.625" style="12" customWidth="1"/>
    <col min="7679" max="7918" width="5.625" style="12"/>
    <col min="7919" max="7934" width="5.625" style="12" customWidth="1"/>
    <col min="7935" max="8174" width="5.625" style="12"/>
    <col min="8175" max="8190" width="5.625" style="12" customWidth="1"/>
    <col min="8191" max="8430" width="5.625" style="12"/>
    <col min="8431" max="8446" width="5.625" style="12" customWidth="1"/>
    <col min="8447" max="8686" width="5.625" style="12"/>
    <col min="8687" max="8702" width="5.625" style="12" customWidth="1"/>
    <col min="8703" max="8942" width="5.625" style="12"/>
    <col min="8943" max="8958" width="5.625" style="12" customWidth="1"/>
    <col min="8959" max="9198" width="5.625" style="12"/>
    <col min="9199" max="9214" width="5.625" style="12" customWidth="1"/>
    <col min="9215" max="9454" width="5.625" style="12"/>
    <col min="9455" max="9470" width="5.625" style="12" customWidth="1"/>
    <col min="9471" max="9710" width="5.625" style="12"/>
    <col min="9711" max="9726" width="5.625" style="12" customWidth="1"/>
    <col min="9727" max="9966" width="5.625" style="12"/>
    <col min="9967" max="9982" width="5.625" style="12" customWidth="1"/>
    <col min="9983" max="10222" width="5.625" style="12"/>
    <col min="10223" max="10238" width="5.625" style="12" customWidth="1"/>
    <col min="10239" max="10478" width="5.625" style="12"/>
    <col min="10479" max="10494" width="5.625" style="12" customWidth="1"/>
    <col min="10495" max="10734" width="5.625" style="12"/>
    <col min="10735" max="10750" width="5.625" style="12" customWidth="1"/>
    <col min="10751" max="10990" width="5.625" style="12"/>
    <col min="10991" max="11006" width="5.625" style="12" customWidth="1"/>
    <col min="11007" max="11246" width="5.625" style="12"/>
    <col min="11247" max="11262" width="5.625" style="12" customWidth="1"/>
    <col min="11263" max="11502" width="5.625" style="12"/>
    <col min="11503" max="11518" width="5.625" style="12" customWidth="1"/>
    <col min="11519" max="11758" width="5.625" style="12"/>
    <col min="11759" max="11774" width="5.625" style="12" customWidth="1"/>
    <col min="11775" max="12014" width="5.625" style="12"/>
    <col min="12015" max="12030" width="5.625" style="12" customWidth="1"/>
    <col min="12031" max="12270" width="5.625" style="12"/>
    <col min="12271" max="12286" width="5.625" style="12" customWidth="1"/>
    <col min="12287" max="12526" width="5.625" style="12"/>
    <col min="12527" max="12542" width="5.625" style="12" customWidth="1"/>
    <col min="12543" max="12782" width="5.625" style="12"/>
    <col min="12783" max="12798" width="5.625" style="12" customWidth="1"/>
    <col min="12799" max="13038" width="5.625" style="12"/>
    <col min="13039" max="13054" width="5.625" style="12" customWidth="1"/>
    <col min="13055" max="13294" width="5.625" style="12"/>
    <col min="13295" max="13310" width="5.625" style="12" customWidth="1"/>
    <col min="13311" max="13550" width="5.625" style="12"/>
    <col min="13551" max="13566" width="5.625" style="12" customWidth="1"/>
    <col min="13567" max="13806" width="5.625" style="12"/>
    <col min="13807" max="13822" width="5.625" style="12" customWidth="1"/>
    <col min="13823" max="14062" width="5.625" style="12"/>
    <col min="14063" max="14078" width="5.625" style="12" customWidth="1"/>
    <col min="14079" max="14318" width="5.625" style="12"/>
    <col min="14319" max="14334" width="5.625" style="12" customWidth="1"/>
    <col min="14335" max="14574" width="5.625" style="12"/>
    <col min="14575" max="14590" width="5.625" style="12" customWidth="1"/>
    <col min="14591" max="14830" width="5.625" style="12"/>
    <col min="14831" max="14846" width="5.625" style="12" customWidth="1"/>
    <col min="14847" max="15086" width="5.625" style="12"/>
    <col min="15087" max="15102" width="5.625" style="12" customWidth="1"/>
    <col min="15103" max="15342" width="5.625" style="12"/>
    <col min="15343" max="15358" width="5.625" style="12" customWidth="1"/>
    <col min="15359" max="15598" width="5.625" style="12"/>
    <col min="15599" max="15614" width="5.625" style="12" customWidth="1"/>
    <col min="15615" max="15854" width="5.625" style="12"/>
    <col min="15855" max="15870" width="5.625" style="12" customWidth="1"/>
    <col min="15871" max="16110" width="5.625" style="12"/>
    <col min="16111" max="16126" width="5.625" style="12" customWidth="1"/>
    <col min="16127" max="16384" width="5.625" style="12"/>
  </cols>
  <sheetData>
    <row r="1" spans="1:31" ht="13.5" customHeight="1" x14ac:dyDescent="0.15">
      <c r="A1" s="260" t="s">
        <v>81</v>
      </c>
      <c r="B1" s="261"/>
      <c r="C1" s="261"/>
      <c r="D1" s="261"/>
      <c r="E1" s="261"/>
      <c r="F1" s="262"/>
      <c r="G1" s="311" t="s">
        <v>5</v>
      </c>
      <c r="H1" s="312"/>
      <c r="I1" s="313"/>
      <c r="J1" s="21"/>
      <c r="K1" s="94"/>
      <c r="L1" s="94"/>
      <c r="M1" s="94"/>
      <c r="N1" s="94"/>
      <c r="O1" s="94"/>
      <c r="P1" s="311" t="s">
        <v>8</v>
      </c>
      <c r="Q1" s="313"/>
      <c r="R1" s="311" t="s">
        <v>7</v>
      </c>
      <c r="S1" s="312"/>
      <c r="T1" s="313"/>
      <c r="U1" s="311" t="s">
        <v>9</v>
      </c>
      <c r="V1" s="313"/>
      <c r="W1" s="311" t="s">
        <v>10</v>
      </c>
      <c r="X1" s="312"/>
      <c r="Y1" s="313"/>
      <c r="Z1" s="107"/>
      <c r="AA1" s="12" t="s">
        <v>128</v>
      </c>
      <c r="AE1" s="12" t="s">
        <v>124</v>
      </c>
    </row>
    <row r="2" spans="1:31" ht="13.5" customHeight="1" x14ac:dyDescent="0.15">
      <c r="A2" s="266"/>
      <c r="B2" s="267"/>
      <c r="C2" s="267"/>
      <c r="D2" s="267"/>
      <c r="E2" s="267"/>
      <c r="F2" s="268"/>
      <c r="G2" s="311" t="s">
        <v>6</v>
      </c>
      <c r="H2" s="312"/>
      <c r="I2" s="313"/>
      <c r="J2" s="21"/>
      <c r="K2" s="95"/>
      <c r="L2" s="95"/>
      <c r="M2" s="95"/>
      <c r="N2" s="95"/>
      <c r="O2" s="95"/>
      <c r="P2" s="246"/>
      <c r="Q2" s="247"/>
      <c r="R2" s="273"/>
      <c r="S2" s="274"/>
      <c r="T2" s="275"/>
      <c r="U2" s="246"/>
      <c r="V2" s="247"/>
      <c r="W2" s="273"/>
      <c r="X2" s="274"/>
      <c r="Y2" s="275"/>
      <c r="Z2" s="107"/>
      <c r="AA2" s="12">
        <f>SUM(AB:AB)</f>
        <v>5</v>
      </c>
    </row>
    <row r="3" spans="1:31" ht="13.5" customHeight="1" x14ac:dyDescent="0.15">
      <c r="A3" s="311" t="s">
        <v>82</v>
      </c>
      <c r="B3" s="312"/>
      <c r="C3" s="21" t="str">
        <f ca="1">RIGHT(CELL("filename",A2),LEN(CELL("filename",A2))-FIND("]",CELL("filename",A2)))</f>
        <v>再計算ﾌﾗｸﾞ</v>
      </c>
      <c r="D3" s="95"/>
      <c r="E3" s="95"/>
      <c r="F3" s="95"/>
      <c r="G3" s="311" t="s">
        <v>83</v>
      </c>
      <c r="H3" s="312"/>
      <c r="I3" s="313"/>
      <c r="J3" s="21" t="s">
        <v>239</v>
      </c>
      <c r="K3" s="95"/>
      <c r="L3" s="95"/>
      <c r="M3" s="95"/>
      <c r="N3" s="95"/>
      <c r="O3" s="95"/>
      <c r="P3" s="248"/>
      <c r="Q3" s="249"/>
      <c r="R3" s="276"/>
      <c r="S3" s="277"/>
      <c r="T3" s="278"/>
      <c r="U3" s="248"/>
      <c r="V3" s="249"/>
      <c r="W3" s="276"/>
      <c r="X3" s="277"/>
      <c r="Y3" s="278"/>
      <c r="Z3" s="107"/>
    </row>
    <row r="4" spans="1:31" x14ac:dyDescent="0.15">
      <c r="A4" s="86"/>
      <c r="B4" s="18"/>
      <c r="C4" s="18"/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  <c r="O4" s="18"/>
      <c r="P4" s="18"/>
      <c r="Q4" s="18"/>
      <c r="R4" s="18"/>
      <c r="S4" s="18"/>
      <c r="T4" s="18"/>
      <c r="U4" s="18"/>
      <c r="V4" s="18"/>
      <c r="W4" s="18"/>
      <c r="X4" s="18"/>
      <c r="Y4" s="18"/>
      <c r="Z4" s="92"/>
    </row>
    <row r="5" spans="1:31" ht="13.5" customHeight="1" x14ac:dyDescent="0.15">
      <c r="A5" s="83" t="s">
        <v>93</v>
      </c>
      <c r="B5" s="84"/>
      <c r="C5" s="84"/>
      <c r="D5" s="84"/>
      <c r="E5" s="84"/>
      <c r="F5" s="84"/>
      <c r="G5" s="84"/>
      <c r="H5" s="84"/>
      <c r="I5" s="84"/>
      <c r="J5" s="84"/>
      <c r="K5" s="84"/>
      <c r="L5" s="84"/>
      <c r="M5" s="84"/>
      <c r="N5" s="84"/>
      <c r="O5" s="84"/>
      <c r="P5" s="84"/>
      <c r="Q5" s="84"/>
      <c r="R5" s="84"/>
      <c r="S5" s="84"/>
      <c r="T5" s="84"/>
      <c r="U5" s="84"/>
      <c r="V5" s="84"/>
      <c r="W5" s="84"/>
      <c r="X5" s="84"/>
      <c r="Y5" s="85"/>
      <c r="Z5" s="92"/>
    </row>
    <row r="6" spans="1:31" x14ac:dyDescent="0.15">
      <c r="A6" s="164"/>
      <c r="B6" s="165"/>
      <c r="C6" s="165"/>
      <c r="D6" s="165"/>
      <c r="E6" s="165"/>
      <c r="F6" s="165"/>
      <c r="G6" s="165"/>
      <c r="H6" s="165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165"/>
      <c r="U6" s="165"/>
      <c r="V6" s="165"/>
      <c r="W6" s="165"/>
      <c r="X6" s="165"/>
      <c r="Y6" s="166"/>
      <c r="Z6" s="92"/>
    </row>
    <row r="7" spans="1:31" x14ac:dyDescent="0.15">
      <c r="A7" s="17"/>
      <c r="B7" s="163" t="s">
        <v>84</v>
      </c>
      <c r="C7" s="311" t="s">
        <v>205</v>
      </c>
      <c r="D7" s="312"/>
      <c r="E7" s="312"/>
      <c r="F7" s="313"/>
      <c r="G7" s="311" t="s">
        <v>83</v>
      </c>
      <c r="H7" s="312"/>
      <c r="I7" s="313"/>
      <c r="J7" s="311" t="s">
        <v>85</v>
      </c>
      <c r="K7" s="313"/>
      <c r="L7" s="97" t="s">
        <v>86</v>
      </c>
      <c r="M7" s="97" t="s">
        <v>87</v>
      </c>
      <c r="N7" s="97" t="s">
        <v>121</v>
      </c>
      <c r="O7" s="97" t="s">
        <v>88</v>
      </c>
      <c r="P7" s="97" t="s">
        <v>89</v>
      </c>
      <c r="Q7" s="97" t="s">
        <v>89</v>
      </c>
      <c r="R7" s="97" t="s">
        <v>89</v>
      </c>
      <c r="S7" s="97" t="s">
        <v>89</v>
      </c>
      <c r="T7" s="97" t="s">
        <v>89</v>
      </c>
      <c r="U7" s="311" t="s">
        <v>90</v>
      </c>
      <c r="V7" s="312"/>
      <c r="W7" s="312"/>
      <c r="X7" s="313"/>
      <c r="Y7" s="98"/>
      <c r="Z7" s="96" t="s">
        <v>126</v>
      </c>
      <c r="AA7" s="12" t="s">
        <v>127</v>
      </c>
      <c r="AB7" s="12" t="s">
        <v>125</v>
      </c>
    </row>
    <row r="8" spans="1:31" x14ac:dyDescent="0.15">
      <c r="A8" s="17"/>
      <c r="B8" s="99" t="s">
        <v>94</v>
      </c>
      <c r="C8" s="301" t="s">
        <v>211</v>
      </c>
      <c r="D8" s="302"/>
      <c r="E8" s="302"/>
      <c r="F8" s="303"/>
      <c r="G8" s="304">
        <v>1</v>
      </c>
      <c r="H8" s="305"/>
      <c r="I8" s="306"/>
      <c r="J8" s="304" t="s">
        <v>91</v>
      </c>
      <c r="K8" s="306"/>
      <c r="L8" s="100">
        <v>1</v>
      </c>
      <c r="M8" s="100"/>
      <c r="N8" s="100"/>
      <c r="O8" s="100"/>
      <c r="P8" s="100"/>
      <c r="Q8" s="100"/>
      <c r="R8" s="100"/>
      <c r="S8" s="100"/>
      <c r="T8" s="100"/>
      <c r="U8" s="307" t="s">
        <v>210</v>
      </c>
      <c r="V8" s="308"/>
      <c r="W8" s="308"/>
      <c r="X8" s="309"/>
      <c r="Y8" s="98"/>
      <c r="Z8" s="106">
        <f t="shared" ref="Z8:Z16" si="0">IF(LEFT(J8,7)="decimal",INT(MID(J8,9,FIND(",",J8,9)-9)),0)</f>
        <v>0</v>
      </c>
      <c r="AA8" s="105">
        <f t="shared" ref="AA8:AA37" si="1">IF(J8="varbinary(max)",2147483647,IF(J8="bit",1,IF(LEFT(J8,4)="char",INT(MID(J8,6,LEN(J8)-6)),IF(LEFT(J8,7)="varchar",INT(MID(J8,9,LEN(J8)-9)+2),IF(LEFT(J8,8)="nvarchar",INT(MID(J8,10,LEN(J8)-10)*2+2),IF(LEFT(J8,7)="decimal",IF(Z8&lt;10,5,IF(Z8&lt;20,9,IF(Z8&lt;29,13,17))),0))))))</f>
        <v>0</v>
      </c>
      <c r="AB8" s="105">
        <f t="shared" ref="AB8:AB37" si="2">IF(AA8&gt;0,AA8,IF(J8="date",3,IF(OR(J8="int",J8="real"),4,IF(J8="time",5,IF(OR(J8="datetime",J8="float",J8="datetime2"),8,IF(J8="uniqueidentifier",16,0))))))</f>
        <v>4</v>
      </c>
    </row>
    <row r="9" spans="1:31" x14ac:dyDescent="0.15">
      <c r="A9" s="17"/>
      <c r="B9" s="99">
        <f>B8+1</f>
        <v>2</v>
      </c>
      <c r="C9" s="301" t="s">
        <v>222</v>
      </c>
      <c r="D9" s="302"/>
      <c r="E9" s="302"/>
      <c r="F9" s="303"/>
      <c r="G9" s="304">
        <v>1</v>
      </c>
      <c r="H9" s="305"/>
      <c r="I9" s="306"/>
      <c r="J9" s="304" t="s">
        <v>223</v>
      </c>
      <c r="K9" s="306"/>
      <c r="L9" s="100"/>
      <c r="M9" s="162" t="s">
        <v>92</v>
      </c>
      <c r="N9" s="100">
        <v>0</v>
      </c>
      <c r="O9" s="100"/>
      <c r="P9" s="100"/>
      <c r="Q9" s="100"/>
      <c r="R9" s="100"/>
      <c r="S9" s="100"/>
      <c r="T9" s="100"/>
      <c r="U9" s="314" t="s">
        <v>224</v>
      </c>
      <c r="V9" s="302"/>
      <c r="W9" s="302"/>
      <c r="X9" s="303"/>
      <c r="Y9" s="98"/>
      <c r="Z9" s="106">
        <f t="shared" si="0"/>
        <v>0</v>
      </c>
      <c r="AA9" s="105">
        <f t="shared" si="1"/>
        <v>1</v>
      </c>
      <c r="AB9" s="105">
        <f t="shared" si="2"/>
        <v>1</v>
      </c>
    </row>
    <row r="10" spans="1:31" x14ac:dyDescent="0.15">
      <c r="A10" s="17"/>
      <c r="B10" s="99">
        <f t="shared" ref="B10:B37" si="3">B9+1</f>
        <v>3</v>
      </c>
      <c r="C10" s="301"/>
      <c r="D10" s="302"/>
      <c r="E10" s="302"/>
      <c r="F10" s="303"/>
      <c r="G10" s="304"/>
      <c r="H10" s="305"/>
      <c r="I10" s="306"/>
      <c r="J10" s="304"/>
      <c r="K10" s="306"/>
      <c r="L10" s="100"/>
      <c r="M10" s="100"/>
      <c r="N10" s="100"/>
      <c r="O10" s="100"/>
      <c r="P10" s="100"/>
      <c r="Q10" s="100"/>
      <c r="R10" s="100"/>
      <c r="S10" s="100"/>
      <c r="T10" s="100"/>
      <c r="U10" s="301"/>
      <c r="V10" s="302"/>
      <c r="W10" s="302"/>
      <c r="X10" s="303"/>
      <c r="Y10" s="98"/>
      <c r="Z10" s="106">
        <f t="shared" si="0"/>
        <v>0</v>
      </c>
      <c r="AA10" s="105">
        <f t="shared" si="1"/>
        <v>0</v>
      </c>
      <c r="AB10" s="105">
        <f t="shared" si="2"/>
        <v>0</v>
      </c>
    </row>
    <row r="11" spans="1:31" x14ac:dyDescent="0.15">
      <c r="A11" s="17"/>
      <c r="B11" s="99">
        <f t="shared" si="3"/>
        <v>4</v>
      </c>
      <c r="C11" s="301"/>
      <c r="D11" s="302"/>
      <c r="E11" s="302"/>
      <c r="F11" s="303"/>
      <c r="G11" s="304"/>
      <c r="H11" s="305"/>
      <c r="I11" s="306"/>
      <c r="J11" s="304"/>
      <c r="K11" s="306"/>
      <c r="L11" s="100"/>
      <c r="M11" s="162"/>
      <c r="N11" s="100"/>
      <c r="O11" s="100"/>
      <c r="P11" s="100"/>
      <c r="Q11" s="100"/>
      <c r="R11" s="100"/>
      <c r="S11" s="100"/>
      <c r="T11" s="100"/>
      <c r="U11" s="301"/>
      <c r="V11" s="302"/>
      <c r="W11" s="302"/>
      <c r="X11" s="303"/>
      <c r="Y11" s="98"/>
      <c r="Z11" s="106">
        <f t="shared" si="0"/>
        <v>0</v>
      </c>
      <c r="AA11" s="105">
        <f t="shared" si="1"/>
        <v>0</v>
      </c>
      <c r="AB11" s="105">
        <f t="shared" si="2"/>
        <v>0</v>
      </c>
    </row>
    <row r="12" spans="1:31" x14ac:dyDescent="0.15">
      <c r="A12" s="17"/>
      <c r="B12" s="99">
        <f t="shared" si="3"/>
        <v>5</v>
      </c>
      <c r="C12" s="301"/>
      <c r="D12" s="302"/>
      <c r="E12" s="302"/>
      <c r="F12" s="303"/>
      <c r="G12" s="304"/>
      <c r="H12" s="305"/>
      <c r="I12" s="306"/>
      <c r="J12" s="304"/>
      <c r="K12" s="306"/>
      <c r="L12" s="100"/>
      <c r="M12" s="162"/>
      <c r="N12" s="100"/>
      <c r="O12" s="100"/>
      <c r="P12" s="100"/>
      <c r="Q12" s="100"/>
      <c r="R12" s="100"/>
      <c r="S12" s="100"/>
      <c r="T12" s="100"/>
      <c r="U12" s="301"/>
      <c r="V12" s="302"/>
      <c r="W12" s="302"/>
      <c r="X12" s="303"/>
      <c r="Y12" s="98"/>
      <c r="Z12" s="106">
        <f t="shared" si="0"/>
        <v>0</v>
      </c>
      <c r="AA12" s="105">
        <f t="shared" si="1"/>
        <v>0</v>
      </c>
      <c r="AB12" s="105">
        <f t="shared" si="2"/>
        <v>0</v>
      </c>
    </row>
    <row r="13" spans="1:31" x14ac:dyDescent="0.15">
      <c r="A13" s="17"/>
      <c r="B13" s="99">
        <f t="shared" si="3"/>
        <v>6</v>
      </c>
      <c r="C13" s="301"/>
      <c r="D13" s="302"/>
      <c r="E13" s="302"/>
      <c r="F13" s="303"/>
      <c r="G13" s="304"/>
      <c r="H13" s="305"/>
      <c r="I13" s="306"/>
      <c r="J13" s="304"/>
      <c r="K13" s="306"/>
      <c r="L13" s="100"/>
      <c r="M13" s="162"/>
      <c r="N13" s="100"/>
      <c r="O13" s="100"/>
      <c r="P13" s="100"/>
      <c r="Q13" s="100"/>
      <c r="R13" s="100"/>
      <c r="S13" s="100"/>
      <c r="T13" s="100"/>
      <c r="U13" s="314"/>
      <c r="V13" s="302"/>
      <c r="W13" s="302"/>
      <c r="X13" s="303"/>
      <c r="Y13" s="98"/>
      <c r="Z13" s="106">
        <f t="shared" si="0"/>
        <v>0</v>
      </c>
      <c r="AA13" s="105">
        <f t="shared" si="1"/>
        <v>0</v>
      </c>
      <c r="AB13" s="105">
        <f>IF(AA13&gt;0,AA13,IF(J13="date",3,IF(OR(J13="int",J13="real"),4,IF(J13="time",5,IF(OR(J13="datetime",J13="float",J13="datetime2"),8,IF(J13="uniqueidentifier",16,0))))))</f>
        <v>0</v>
      </c>
    </row>
    <row r="14" spans="1:31" x14ac:dyDescent="0.15">
      <c r="A14" s="17"/>
      <c r="B14" s="99">
        <f t="shared" si="3"/>
        <v>7</v>
      </c>
      <c r="C14" s="301"/>
      <c r="D14" s="302"/>
      <c r="E14" s="302"/>
      <c r="F14" s="303"/>
      <c r="G14" s="304"/>
      <c r="H14" s="305"/>
      <c r="I14" s="306"/>
      <c r="J14" s="304"/>
      <c r="K14" s="306"/>
      <c r="L14" s="100"/>
      <c r="M14" s="100"/>
      <c r="N14" s="100"/>
      <c r="O14" s="100"/>
      <c r="P14" s="100"/>
      <c r="Q14" s="100"/>
      <c r="R14" s="100"/>
      <c r="S14" s="100"/>
      <c r="T14" s="100"/>
      <c r="U14" s="301"/>
      <c r="V14" s="302"/>
      <c r="W14" s="302"/>
      <c r="X14" s="303"/>
      <c r="Y14" s="98"/>
      <c r="Z14" s="106">
        <f t="shared" si="0"/>
        <v>0</v>
      </c>
      <c r="AA14" s="105">
        <f t="shared" si="1"/>
        <v>0</v>
      </c>
      <c r="AB14" s="105">
        <f t="shared" si="2"/>
        <v>0</v>
      </c>
    </row>
    <row r="15" spans="1:31" x14ac:dyDescent="0.15">
      <c r="A15" s="101"/>
      <c r="B15" s="99">
        <f t="shared" si="3"/>
        <v>8</v>
      </c>
      <c r="C15" s="301"/>
      <c r="D15" s="302"/>
      <c r="E15" s="302"/>
      <c r="F15" s="303"/>
      <c r="G15" s="304"/>
      <c r="H15" s="305"/>
      <c r="I15" s="306"/>
      <c r="J15" s="304"/>
      <c r="K15" s="306"/>
      <c r="L15" s="100"/>
      <c r="M15" s="100"/>
      <c r="N15" s="100"/>
      <c r="O15" s="100"/>
      <c r="P15" s="100"/>
      <c r="Q15" s="100"/>
      <c r="R15" s="100"/>
      <c r="S15" s="100"/>
      <c r="T15" s="100"/>
      <c r="U15" s="301"/>
      <c r="V15" s="302"/>
      <c r="W15" s="302"/>
      <c r="X15" s="303"/>
      <c r="Y15" s="98"/>
      <c r="Z15" s="106">
        <f t="shared" si="0"/>
        <v>0</v>
      </c>
      <c r="AA15" s="105">
        <f t="shared" si="1"/>
        <v>0</v>
      </c>
      <c r="AB15" s="105">
        <f t="shared" si="2"/>
        <v>0</v>
      </c>
    </row>
    <row r="16" spans="1:31" x14ac:dyDescent="0.15">
      <c r="A16" s="101"/>
      <c r="B16" s="99">
        <f t="shared" si="3"/>
        <v>9</v>
      </c>
      <c r="C16" s="301"/>
      <c r="D16" s="302"/>
      <c r="E16" s="302"/>
      <c r="F16" s="303"/>
      <c r="G16" s="304"/>
      <c r="H16" s="305"/>
      <c r="I16" s="306"/>
      <c r="J16" s="304"/>
      <c r="K16" s="306"/>
      <c r="L16" s="100"/>
      <c r="M16" s="100"/>
      <c r="N16" s="100"/>
      <c r="O16" s="100"/>
      <c r="P16" s="100"/>
      <c r="Q16" s="100"/>
      <c r="R16" s="100"/>
      <c r="S16" s="100"/>
      <c r="T16" s="100"/>
      <c r="U16" s="301"/>
      <c r="V16" s="302"/>
      <c r="W16" s="302"/>
      <c r="X16" s="303"/>
      <c r="Y16" s="98"/>
      <c r="Z16" s="106">
        <f t="shared" si="0"/>
        <v>0</v>
      </c>
      <c r="AA16" s="105">
        <f t="shared" si="1"/>
        <v>0</v>
      </c>
      <c r="AB16" s="105">
        <f t="shared" si="2"/>
        <v>0</v>
      </c>
    </row>
    <row r="17" spans="1:28" x14ac:dyDescent="0.15">
      <c r="A17" s="101"/>
      <c r="B17" s="99">
        <f t="shared" si="3"/>
        <v>10</v>
      </c>
      <c r="C17" s="301"/>
      <c r="D17" s="302"/>
      <c r="E17" s="302"/>
      <c r="F17" s="303"/>
      <c r="G17" s="304"/>
      <c r="H17" s="305"/>
      <c r="I17" s="306"/>
      <c r="J17" s="304"/>
      <c r="K17" s="306"/>
      <c r="L17" s="100"/>
      <c r="M17" s="100"/>
      <c r="N17" s="100"/>
      <c r="O17" s="100"/>
      <c r="P17" s="100"/>
      <c r="Q17" s="100"/>
      <c r="R17" s="100"/>
      <c r="S17" s="100"/>
      <c r="T17" s="100"/>
      <c r="U17" s="301"/>
      <c r="V17" s="302"/>
      <c r="W17" s="302"/>
      <c r="X17" s="303"/>
      <c r="Y17" s="98"/>
      <c r="Z17" s="106">
        <f>IF(LEFT(J17,7)="decimal",INT(MID(J17,9,FIND(",",J17,9)-9)),0)</f>
        <v>0</v>
      </c>
      <c r="AA17" s="105">
        <f t="shared" si="1"/>
        <v>0</v>
      </c>
      <c r="AB17" s="105">
        <f t="shared" si="2"/>
        <v>0</v>
      </c>
    </row>
    <row r="18" spans="1:28" x14ac:dyDescent="0.15">
      <c r="A18" s="101"/>
      <c r="B18" s="99">
        <f t="shared" si="3"/>
        <v>11</v>
      </c>
      <c r="C18" s="301"/>
      <c r="D18" s="302"/>
      <c r="E18" s="302"/>
      <c r="F18" s="303"/>
      <c r="G18" s="304"/>
      <c r="H18" s="305"/>
      <c r="I18" s="306"/>
      <c r="J18" s="304"/>
      <c r="K18" s="306"/>
      <c r="L18" s="100"/>
      <c r="M18" s="100"/>
      <c r="N18" s="100"/>
      <c r="O18" s="100"/>
      <c r="P18" s="100"/>
      <c r="Q18" s="100"/>
      <c r="R18" s="100"/>
      <c r="S18" s="100"/>
      <c r="T18" s="100"/>
      <c r="U18" s="301"/>
      <c r="V18" s="302"/>
      <c r="W18" s="302"/>
      <c r="X18" s="303"/>
      <c r="Y18" s="98"/>
      <c r="Z18" s="106">
        <f t="shared" ref="Z18:Z37" si="4">IF(LEFT(J18,7)="decimal",INT(MID(J18,9,FIND(",",J18,9)-9)),0)</f>
        <v>0</v>
      </c>
      <c r="AA18" s="105">
        <f t="shared" si="1"/>
        <v>0</v>
      </c>
      <c r="AB18" s="105">
        <f t="shared" si="2"/>
        <v>0</v>
      </c>
    </row>
    <row r="19" spans="1:28" x14ac:dyDescent="0.15">
      <c r="A19" s="101"/>
      <c r="B19" s="99">
        <f t="shared" si="3"/>
        <v>12</v>
      </c>
      <c r="C19" s="301"/>
      <c r="D19" s="302"/>
      <c r="E19" s="302"/>
      <c r="F19" s="303"/>
      <c r="G19" s="304"/>
      <c r="H19" s="305"/>
      <c r="I19" s="306"/>
      <c r="J19" s="304"/>
      <c r="K19" s="306"/>
      <c r="L19" s="100"/>
      <c r="M19" s="100"/>
      <c r="N19" s="100"/>
      <c r="O19" s="100"/>
      <c r="P19" s="100"/>
      <c r="Q19" s="100"/>
      <c r="R19" s="100"/>
      <c r="S19" s="100"/>
      <c r="T19" s="100"/>
      <c r="U19" s="301"/>
      <c r="V19" s="302"/>
      <c r="W19" s="302"/>
      <c r="X19" s="303"/>
      <c r="Y19" s="98"/>
      <c r="Z19" s="106">
        <f t="shared" si="4"/>
        <v>0</v>
      </c>
      <c r="AA19" s="105">
        <f t="shared" si="1"/>
        <v>0</v>
      </c>
      <c r="AB19" s="105">
        <f t="shared" si="2"/>
        <v>0</v>
      </c>
    </row>
    <row r="20" spans="1:28" x14ac:dyDescent="0.15">
      <c r="A20" s="101"/>
      <c r="B20" s="99">
        <f t="shared" si="3"/>
        <v>13</v>
      </c>
      <c r="C20" s="301"/>
      <c r="D20" s="302"/>
      <c r="E20" s="302"/>
      <c r="F20" s="303"/>
      <c r="G20" s="304"/>
      <c r="H20" s="305"/>
      <c r="I20" s="306"/>
      <c r="J20" s="304"/>
      <c r="K20" s="306"/>
      <c r="L20" s="100"/>
      <c r="M20" s="100"/>
      <c r="N20" s="100"/>
      <c r="O20" s="100"/>
      <c r="P20" s="100"/>
      <c r="Q20" s="100"/>
      <c r="R20" s="100"/>
      <c r="S20" s="100"/>
      <c r="T20" s="100"/>
      <c r="U20" s="301"/>
      <c r="V20" s="302"/>
      <c r="W20" s="302"/>
      <c r="X20" s="303"/>
      <c r="Y20" s="98"/>
      <c r="Z20" s="106">
        <f t="shared" si="4"/>
        <v>0</v>
      </c>
      <c r="AA20" s="105">
        <f t="shared" si="1"/>
        <v>0</v>
      </c>
      <c r="AB20" s="105">
        <f t="shared" si="2"/>
        <v>0</v>
      </c>
    </row>
    <row r="21" spans="1:28" x14ac:dyDescent="0.15">
      <c r="A21" s="101"/>
      <c r="B21" s="99">
        <f t="shared" si="3"/>
        <v>14</v>
      </c>
      <c r="C21" s="301"/>
      <c r="D21" s="302"/>
      <c r="E21" s="302"/>
      <c r="F21" s="303"/>
      <c r="G21" s="304"/>
      <c r="H21" s="305"/>
      <c r="I21" s="306"/>
      <c r="J21" s="304"/>
      <c r="K21" s="306"/>
      <c r="L21" s="100"/>
      <c r="M21" s="100"/>
      <c r="N21" s="100"/>
      <c r="O21" s="100"/>
      <c r="P21" s="100"/>
      <c r="Q21" s="100"/>
      <c r="R21" s="100"/>
      <c r="S21" s="100"/>
      <c r="T21" s="100"/>
      <c r="U21" s="301"/>
      <c r="V21" s="302"/>
      <c r="W21" s="302"/>
      <c r="X21" s="303"/>
      <c r="Y21" s="98"/>
      <c r="Z21" s="106">
        <f t="shared" si="4"/>
        <v>0</v>
      </c>
      <c r="AA21" s="105">
        <f t="shared" si="1"/>
        <v>0</v>
      </c>
      <c r="AB21" s="105">
        <f t="shared" si="2"/>
        <v>0</v>
      </c>
    </row>
    <row r="22" spans="1:28" x14ac:dyDescent="0.15">
      <c r="A22" s="101"/>
      <c r="B22" s="99">
        <f t="shared" si="3"/>
        <v>15</v>
      </c>
      <c r="C22" s="301"/>
      <c r="D22" s="302"/>
      <c r="E22" s="302"/>
      <c r="F22" s="303"/>
      <c r="G22" s="304"/>
      <c r="H22" s="305"/>
      <c r="I22" s="306"/>
      <c r="J22" s="304"/>
      <c r="K22" s="306"/>
      <c r="L22" s="100"/>
      <c r="M22" s="100"/>
      <c r="N22" s="100"/>
      <c r="O22" s="100"/>
      <c r="P22" s="100"/>
      <c r="Q22" s="100"/>
      <c r="R22" s="100"/>
      <c r="S22" s="100"/>
      <c r="T22" s="100"/>
      <c r="U22" s="301"/>
      <c r="V22" s="302"/>
      <c r="W22" s="302"/>
      <c r="X22" s="303"/>
      <c r="Y22" s="98"/>
      <c r="Z22" s="106">
        <f t="shared" si="4"/>
        <v>0</v>
      </c>
      <c r="AA22" s="105">
        <f t="shared" si="1"/>
        <v>0</v>
      </c>
      <c r="AB22" s="105">
        <f t="shared" si="2"/>
        <v>0</v>
      </c>
    </row>
    <row r="23" spans="1:28" x14ac:dyDescent="0.15">
      <c r="A23" s="101"/>
      <c r="B23" s="99">
        <f t="shared" si="3"/>
        <v>16</v>
      </c>
      <c r="C23" s="301"/>
      <c r="D23" s="302"/>
      <c r="E23" s="302"/>
      <c r="F23" s="303"/>
      <c r="G23" s="304"/>
      <c r="H23" s="305"/>
      <c r="I23" s="306"/>
      <c r="J23" s="304"/>
      <c r="K23" s="306"/>
      <c r="L23" s="100"/>
      <c r="M23" s="100"/>
      <c r="N23" s="100"/>
      <c r="O23" s="100"/>
      <c r="P23" s="100"/>
      <c r="Q23" s="100"/>
      <c r="R23" s="100"/>
      <c r="S23" s="100"/>
      <c r="T23" s="100"/>
      <c r="U23" s="301"/>
      <c r="V23" s="302"/>
      <c r="W23" s="302"/>
      <c r="X23" s="303"/>
      <c r="Y23" s="98"/>
      <c r="Z23" s="106">
        <f t="shared" si="4"/>
        <v>0</v>
      </c>
      <c r="AA23" s="105">
        <f t="shared" si="1"/>
        <v>0</v>
      </c>
      <c r="AB23" s="105">
        <f t="shared" si="2"/>
        <v>0</v>
      </c>
    </row>
    <row r="24" spans="1:28" x14ac:dyDescent="0.15">
      <c r="A24" s="101"/>
      <c r="B24" s="99">
        <f t="shared" si="3"/>
        <v>17</v>
      </c>
      <c r="C24" s="301"/>
      <c r="D24" s="302"/>
      <c r="E24" s="302"/>
      <c r="F24" s="303"/>
      <c r="G24" s="304"/>
      <c r="H24" s="305"/>
      <c r="I24" s="306"/>
      <c r="J24" s="304"/>
      <c r="K24" s="306"/>
      <c r="L24" s="100"/>
      <c r="M24" s="100"/>
      <c r="N24" s="100"/>
      <c r="O24" s="100"/>
      <c r="P24" s="100"/>
      <c r="Q24" s="100"/>
      <c r="R24" s="100"/>
      <c r="S24" s="100"/>
      <c r="T24" s="100"/>
      <c r="U24" s="301"/>
      <c r="V24" s="302"/>
      <c r="W24" s="302"/>
      <c r="X24" s="303"/>
      <c r="Y24" s="98"/>
      <c r="Z24" s="106">
        <f t="shared" si="4"/>
        <v>0</v>
      </c>
      <c r="AA24" s="105">
        <f t="shared" si="1"/>
        <v>0</v>
      </c>
      <c r="AB24" s="105">
        <f t="shared" si="2"/>
        <v>0</v>
      </c>
    </row>
    <row r="25" spans="1:28" x14ac:dyDescent="0.15">
      <c r="A25" s="101"/>
      <c r="B25" s="99">
        <f t="shared" si="3"/>
        <v>18</v>
      </c>
      <c r="C25" s="301"/>
      <c r="D25" s="302"/>
      <c r="E25" s="302"/>
      <c r="F25" s="303"/>
      <c r="G25" s="304"/>
      <c r="H25" s="305"/>
      <c r="I25" s="306"/>
      <c r="J25" s="304"/>
      <c r="K25" s="306"/>
      <c r="L25" s="100"/>
      <c r="M25" s="100"/>
      <c r="N25" s="100"/>
      <c r="O25" s="100"/>
      <c r="P25" s="100"/>
      <c r="Q25" s="100"/>
      <c r="R25" s="100"/>
      <c r="S25" s="100"/>
      <c r="T25" s="100"/>
      <c r="U25" s="301"/>
      <c r="V25" s="302"/>
      <c r="W25" s="302"/>
      <c r="X25" s="303"/>
      <c r="Y25" s="98"/>
      <c r="Z25" s="106">
        <f t="shared" si="4"/>
        <v>0</v>
      </c>
      <c r="AA25" s="105">
        <f t="shared" si="1"/>
        <v>0</v>
      </c>
      <c r="AB25" s="105">
        <f t="shared" si="2"/>
        <v>0</v>
      </c>
    </row>
    <row r="26" spans="1:28" x14ac:dyDescent="0.15">
      <c r="A26" s="101"/>
      <c r="B26" s="99">
        <f t="shared" si="3"/>
        <v>19</v>
      </c>
      <c r="C26" s="301"/>
      <c r="D26" s="302"/>
      <c r="E26" s="302"/>
      <c r="F26" s="303"/>
      <c r="G26" s="304"/>
      <c r="H26" s="305"/>
      <c r="I26" s="306"/>
      <c r="J26" s="304"/>
      <c r="K26" s="306"/>
      <c r="L26" s="100"/>
      <c r="M26" s="100"/>
      <c r="N26" s="100"/>
      <c r="O26" s="100"/>
      <c r="P26" s="100"/>
      <c r="Q26" s="100"/>
      <c r="R26" s="100"/>
      <c r="S26" s="100"/>
      <c r="T26" s="100"/>
      <c r="U26" s="301"/>
      <c r="V26" s="302"/>
      <c r="W26" s="302"/>
      <c r="X26" s="303"/>
      <c r="Y26" s="98"/>
      <c r="Z26" s="106">
        <f t="shared" si="4"/>
        <v>0</v>
      </c>
      <c r="AA26" s="105">
        <f t="shared" si="1"/>
        <v>0</v>
      </c>
      <c r="AB26" s="105">
        <f t="shared" si="2"/>
        <v>0</v>
      </c>
    </row>
    <row r="27" spans="1:28" x14ac:dyDescent="0.15">
      <c r="A27" s="101"/>
      <c r="B27" s="99">
        <f t="shared" si="3"/>
        <v>20</v>
      </c>
      <c r="C27" s="301"/>
      <c r="D27" s="302"/>
      <c r="E27" s="302"/>
      <c r="F27" s="303"/>
      <c r="G27" s="304"/>
      <c r="H27" s="305"/>
      <c r="I27" s="306"/>
      <c r="J27" s="304"/>
      <c r="K27" s="306"/>
      <c r="L27" s="100"/>
      <c r="M27" s="100"/>
      <c r="N27" s="100"/>
      <c r="O27" s="100"/>
      <c r="P27" s="100"/>
      <c r="Q27" s="100"/>
      <c r="R27" s="100"/>
      <c r="S27" s="100"/>
      <c r="T27" s="100"/>
      <c r="U27" s="301"/>
      <c r="V27" s="302"/>
      <c r="W27" s="302"/>
      <c r="X27" s="303"/>
      <c r="Y27" s="98"/>
      <c r="Z27" s="106">
        <f t="shared" si="4"/>
        <v>0</v>
      </c>
      <c r="AA27" s="105">
        <f t="shared" si="1"/>
        <v>0</v>
      </c>
      <c r="AB27" s="105">
        <f t="shared" si="2"/>
        <v>0</v>
      </c>
    </row>
    <row r="28" spans="1:28" x14ac:dyDescent="0.15">
      <c r="A28" s="101"/>
      <c r="B28" s="99">
        <f t="shared" si="3"/>
        <v>21</v>
      </c>
      <c r="C28" s="301"/>
      <c r="D28" s="302"/>
      <c r="E28" s="302"/>
      <c r="F28" s="303"/>
      <c r="G28" s="304"/>
      <c r="H28" s="305"/>
      <c r="I28" s="306"/>
      <c r="J28" s="304"/>
      <c r="K28" s="306"/>
      <c r="L28" s="100"/>
      <c r="M28" s="100"/>
      <c r="N28" s="100"/>
      <c r="O28" s="100"/>
      <c r="P28" s="100"/>
      <c r="Q28" s="100"/>
      <c r="R28" s="100"/>
      <c r="S28" s="100"/>
      <c r="T28" s="100"/>
      <c r="U28" s="301"/>
      <c r="V28" s="302"/>
      <c r="W28" s="302"/>
      <c r="X28" s="303"/>
      <c r="Y28" s="98"/>
      <c r="Z28" s="106">
        <f t="shared" si="4"/>
        <v>0</v>
      </c>
      <c r="AA28" s="105">
        <f t="shared" si="1"/>
        <v>0</v>
      </c>
      <c r="AB28" s="105">
        <f t="shared" si="2"/>
        <v>0</v>
      </c>
    </row>
    <row r="29" spans="1:28" x14ac:dyDescent="0.15">
      <c r="A29" s="101"/>
      <c r="B29" s="99">
        <f t="shared" si="3"/>
        <v>22</v>
      </c>
      <c r="C29" s="301"/>
      <c r="D29" s="302"/>
      <c r="E29" s="302"/>
      <c r="F29" s="303"/>
      <c r="G29" s="304"/>
      <c r="H29" s="305"/>
      <c r="I29" s="306"/>
      <c r="J29" s="304"/>
      <c r="K29" s="306"/>
      <c r="L29" s="100"/>
      <c r="M29" s="100"/>
      <c r="N29" s="100"/>
      <c r="O29" s="100"/>
      <c r="P29" s="100"/>
      <c r="Q29" s="100"/>
      <c r="R29" s="100"/>
      <c r="S29" s="100"/>
      <c r="T29" s="100"/>
      <c r="U29" s="301"/>
      <c r="V29" s="302"/>
      <c r="W29" s="302"/>
      <c r="X29" s="303"/>
      <c r="Y29" s="98"/>
      <c r="Z29" s="106">
        <f t="shared" si="4"/>
        <v>0</v>
      </c>
      <c r="AA29" s="105">
        <f t="shared" si="1"/>
        <v>0</v>
      </c>
      <c r="AB29" s="105">
        <f t="shared" si="2"/>
        <v>0</v>
      </c>
    </row>
    <row r="30" spans="1:28" x14ac:dyDescent="0.15">
      <c r="A30" s="101"/>
      <c r="B30" s="99">
        <f t="shared" si="3"/>
        <v>23</v>
      </c>
      <c r="C30" s="301"/>
      <c r="D30" s="302"/>
      <c r="E30" s="302"/>
      <c r="F30" s="303"/>
      <c r="G30" s="304"/>
      <c r="H30" s="305"/>
      <c r="I30" s="306"/>
      <c r="J30" s="304"/>
      <c r="K30" s="306"/>
      <c r="L30" s="100"/>
      <c r="M30" s="100"/>
      <c r="N30" s="100"/>
      <c r="O30" s="100"/>
      <c r="P30" s="100"/>
      <c r="Q30" s="100"/>
      <c r="R30" s="100"/>
      <c r="S30" s="100"/>
      <c r="T30" s="100"/>
      <c r="U30" s="301"/>
      <c r="V30" s="302"/>
      <c r="W30" s="302"/>
      <c r="X30" s="303"/>
      <c r="Y30" s="98"/>
      <c r="Z30" s="106">
        <f t="shared" si="4"/>
        <v>0</v>
      </c>
      <c r="AA30" s="105">
        <f t="shared" si="1"/>
        <v>0</v>
      </c>
      <c r="AB30" s="105">
        <f t="shared" si="2"/>
        <v>0</v>
      </c>
    </row>
    <row r="31" spans="1:28" x14ac:dyDescent="0.15">
      <c r="A31" s="101"/>
      <c r="B31" s="99">
        <f t="shared" si="3"/>
        <v>24</v>
      </c>
      <c r="C31" s="301"/>
      <c r="D31" s="302"/>
      <c r="E31" s="302"/>
      <c r="F31" s="303"/>
      <c r="G31" s="304"/>
      <c r="H31" s="305"/>
      <c r="I31" s="306"/>
      <c r="J31" s="304"/>
      <c r="K31" s="306"/>
      <c r="L31" s="100"/>
      <c r="M31" s="100"/>
      <c r="N31" s="100"/>
      <c r="O31" s="100"/>
      <c r="P31" s="100"/>
      <c r="Q31" s="100"/>
      <c r="R31" s="100"/>
      <c r="S31" s="100"/>
      <c r="T31" s="100"/>
      <c r="U31" s="301"/>
      <c r="V31" s="302"/>
      <c r="W31" s="302"/>
      <c r="X31" s="303"/>
      <c r="Y31" s="98"/>
      <c r="Z31" s="106">
        <f t="shared" si="4"/>
        <v>0</v>
      </c>
      <c r="AA31" s="105">
        <f t="shared" si="1"/>
        <v>0</v>
      </c>
      <c r="AB31" s="105">
        <f t="shared" si="2"/>
        <v>0</v>
      </c>
    </row>
    <row r="32" spans="1:28" x14ac:dyDescent="0.15">
      <c r="A32" s="101"/>
      <c r="B32" s="99">
        <f t="shared" si="3"/>
        <v>25</v>
      </c>
      <c r="C32" s="301"/>
      <c r="D32" s="302"/>
      <c r="E32" s="302"/>
      <c r="F32" s="303"/>
      <c r="G32" s="304"/>
      <c r="H32" s="305"/>
      <c r="I32" s="306"/>
      <c r="J32" s="304"/>
      <c r="K32" s="306"/>
      <c r="L32" s="100"/>
      <c r="M32" s="100"/>
      <c r="N32" s="100"/>
      <c r="O32" s="100"/>
      <c r="P32" s="100"/>
      <c r="Q32" s="100"/>
      <c r="R32" s="100"/>
      <c r="S32" s="100"/>
      <c r="T32" s="100"/>
      <c r="U32" s="301"/>
      <c r="V32" s="302"/>
      <c r="W32" s="302"/>
      <c r="X32" s="303"/>
      <c r="Y32" s="98"/>
      <c r="Z32" s="106">
        <f t="shared" si="4"/>
        <v>0</v>
      </c>
      <c r="AA32" s="105">
        <f t="shared" si="1"/>
        <v>0</v>
      </c>
      <c r="AB32" s="105">
        <f t="shared" si="2"/>
        <v>0</v>
      </c>
    </row>
    <row r="33" spans="1:28" x14ac:dyDescent="0.15">
      <c r="A33" s="101"/>
      <c r="B33" s="99">
        <f t="shared" si="3"/>
        <v>26</v>
      </c>
      <c r="C33" s="301"/>
      <c r="D33" s="302"/>
      <c r="E33" s="302"/>
      <c r="F33" s="303"/>
      <c r="G33" s="304"/>
      <c r="H33" s="305"/>
      <c r="I33" s="306"/>
      <c r="J33" s="304"/>
      <c r="K33" s="306"/>
      <c r="L33" s="100"/>
      <c r="M33" s="100"/>
      <c r="N33" s="100"/>
      <c r="O33" s="100"/>
      <c r="P33" s="100"/>
      <c r="Q33" s="100"/>
      <c r="R33" s="100"/>
      <c r="S33" s="100"/>
      <c r="T33" s="100"/>
      <c r="U33" s="301"/>
      <c r="V33" s="302"/>
      <c r="W33" s="302"/>
      <c r="X33" s="303"/>
      <c r="Y33" s="98"/>
      <c r="Z33" s="106">
        <f t="shared" si="4"/>
        <v>0</v>
      </c>
      <c r="AA33" s="105">
        <f t="shared" si="1"/>
        <v>0</v>
      </c>
      <c r="AB33" s="105">
        <f t="shared" si="2"/>
        <v>0</v>
      </c>
    </row>
    <row r="34" spans="1:28" x14ac:dyDescent="0.15">
      <c r="A34" s="101"/>
      <c r="B34" s="99">
        <f t="shared" si="3"/>
        <v>27</v>
      </c>
      <c r="C34" s="301"/>
      <c r="D34" s="302"/>
      <c r="E34" s="302"/>
      <c r="F34" s="303"/>
      <c r="G34" s="304"/>
      <c r="H34" s="305"/>
      <c r="I34" s="306"/>
      <c r="J34" s="304"/>
      <c r="K34" s="306"/>
      <c r="L34" s="100"/>
      <c r="M34" s="100"/>
      <c r="N34" s="100"/>
      <c r="O34" s="100"/>
      <c r="P34" s="100"/>
      <c r="Q34" s="100"/>
      <c r="R34" s="100"/>
      <c r="S34" s="100"/>
      <c r="T34" s="100"/>
      <c r="U34" s="301"/>
      <c r="V34" s="302"/>
      <c r="W34" s="302"/>
      <c r="X34" s="303"/>
      <c r="Y34" s="98"/>
      <c r="Z34" s="106">
        <f t="shared" si="4"/>
        <v>0</v>
      </c>
      <c r="AA34" s="105">
        <f t="shared" si="1"/>
        <v>0</v>
      </c>
      <c r="AB34" s="105">
        <f t="shared" si="2"/>
        <v>0</v>
      </c>
    </row>
    <row r="35" spans="1:28" x14ac:dyDescent="0.15">
      <c r="A35" s="101"/>
      <c r="B35" s="99">
        <f t="shared" si="3"/>
        <v>28</v>
      </c>
      <c r="C35" s="301"/>
      <c r="D35" s="302"/>
      <c r="E35" s="302"/>
      <c r="F35" s="303"/>
      <c r="G35" s="304"/>
      <c r="H35" s="305"/>
      <c r="I35" s="306"/>
      <c r="J35" s="304"/>
      <c r="K35" s="306"/>
      <c r="L35" s="100"/>
      <c r="M35" s="100"/>
      <c r="N35" s="100"/>
      <c r="O35" s="100"/>
      <c r="P35" s="100"/>
      <c r="Q35" s="100"/>
      <c r="R35" s="100"/>
      <c r="S35" s="100"/>
      <c r="T35" s="100"/>
      <c r="U35" s="301"/>
      <c r="V35" s="302"/>
      <c r="W35" s="302"/>
      <c r="X35" s="303"/>
      <c r="Y35" s="98"/>
      <c r="Z35" s="106">
        <f t="shared" si="4"/>
        <v>0</v>
      </c>
      <c r="AA35" s="105">
        <f t="shared" si="1"/>
        <v>0</v>
      </c>
      <c r="AB35" s="105">
        <f t="shared" si="2"/>
        <v>0</v>
      </c>
    </row>
    <row r="36" spans="1:28" x14ac:dyDescent="0.15">
      <c r="A36" s="101"/>
      <c r="B36" s="99">
        <f t="shared" si="3"/>
        <v>29</v>
      </c>
      <c r="C36" s="301"/>
      <c r="D36" s="302"/>
      <c r="E36" s="302"/>
      <c r="F36" s="303"/>
      <c r="G36" s="304"/>
      <c r="H36" s="305"/>
      <c r="I36" s="306"/>
      <c r="J36" s="304"/>
      <c r="K36" s="306"/>
      <c r="L36" s="100"/>
      <c r="M36" s="100"/>
      <c r="N36" s="100"/>
      <c r="O36" s="100"/>
      <c r="P36" s="100"/>
      <c r="Q36" s="100"/>
      <c r="R36" s="100"/>
      <c r="S36" s="100"/>
      <c r="T36" s="100"/>
      <c r="U36" s="301"/>
      <c r="V36" s="302"/>
      <c r="W36" s="302"/>
      <c r="X36" s="303"/>
      <c r="Y36" s="98"/>
      <c r="Z36" s="106">
        <f t="shared" si="4"/>
        <v>0</v>
      </c>
      <c r="AA36" s="105">
        <f t="shared" si="1"/>
        <v>0</v>
      </c>
      <c r="AB36" s="105">
        <f t="shared" si="2"/>
        <v>0</v>
      </c>
    </row>
    <row r="37" spans="1:28" x14ac:dyDescent="0.15">
      <c r="A37" s="101"/>
      <c r="B37" s="99">
        <f t="shared" si="3"/>
        <v>30</v>
      </c>
      <c r="C37" s="301"/>
      <c r="D37" s="302"/>
      <c r="E37" s="302"/>
      <c r="F37" s="303"/>
      <c r="G37" s="304"/>
      <c r="H37" s="305"/>
      <c r="I37" s="306"/>
      <c r="J37" s="304"/>
      <c r="K37" s="306"/>
      <c r="L37" s="100"/>
      <c r="M37" s="100"/>
      <c r="N37" s="100"/>
      <c r="O37" s="100"/>
      <c r="P37" s="100"/>
      <c r="Q37" s="100"/>
      <c r="R37" s="100"/>
      <c r="S37" s="100"/>
      <c r="T37" s="100"/>
      <c r="U37" s="301"/>
      <c r="V37" s="302"/>
      <c r="W37" s="302"/>
      <c r="X37" s="303"/>
      <c r="Y37" s="98"/>
      <c r="Z37" s="106">
        <f t="shared" si="4"/>
        <v>0</v>
      </c>
      <c r="AA37" s="105">
        <f t="shared" si="1"/>
        <v>0</v>
      </c>
      <c r="AB37" s="105">
        <f t="shared" si="2"/>
        <v>0</v>
      </c>
    </row>
    <row r="38" spans="1:28" x14ac:dyDescent="0.15">
      <c r="A38" s="101"/>
      <c r="B38" s="298" t="s">
        <v>122</v>
      </c>
      <c r="C38" s="299"/>
      <c r="D38" s="299"/>
      <c r="E38" s="299"/>
      <c r="F38" s="299"/>
      <c r="G38" s="299"/>
      <c r="H38" s="299"/>
      <c r="I38" s="299"/>
      <c r="J38" s="299"/>
      <c r="K38" s="299"/>
      <c r="L38" s="299"/>
      <c r="M38" s="299"/>
      <c r="N38" s="299"/>
      <c r="O38" s="299"/>
      <c r="P38" s="299"/>
      <c r="Q38" s="299"/>
      <c r="R38" s="299"/>
      <c r="S38" s="299"/>
      <c r="T38" s="299"/>
      <c r="U38" s="299"/>
      <c r="V38" s="299"/>
      <c r="W38" s="299"/>
      <c r="X38" s="300"/>
      <c r="Y38" s="98"/>
      <c r="Z38" s="92"/>
    </row>
    <row r="39" spans="1:28" x14ac:dyDescent="0.15">
      <c r="A39" s="101"/>
      <c r="B39" s="101" t="s">
        <v>236</v>
      </c>
      <c r="C39" s="92"/>
      <c r="D39" s="92"/>
      <c r="E39" s="92"/>
      <c r="F39" s="92"/>
      <c r="G39" s="92"/>
      <c r="H39" s="92"/>
      <c r="I39" s="92"/>
      <c r="J39" s="92"/>
      <c r="K39" s="92"/>
      <c r="L39" s="92"/>
      <c r="M39" s="92"/>
      <c r="N39" s="92"/>
      <c r="O39" s="92"/>
      <c r="P39" s="92"/>
      <c r="Q39" s="92"/>
      <c r="R39" s="92"/>
      <c r="S39" s="92"/>
      <c r="T39" s="92"/>
      <c r="U39" s="92"/>
      <c r="V39" s="92"/>
      <c r="W39" s="92"/>
      <c r="X39" s="98"/>
      <c r="Y39" s="98"/>
      <c r="Z39" s="92"/>
    </row>
    <row r="40" spans="1:28" x14ac:dyDescent="0.15">
      <c r="A40" s="101"/>
      <c r="B40" s="101" t="s">
        <v>237</v>
      </c>
      <c r="C40" s="92"/>
      <c r="D40" s="92"/>
      <c r="E40" s="92"/>
      <c r="F40" s="92"/>
      <c r="G40" s="92" t="s">
        <v>238</v>
      </c>
      <c r="H40" s="92"/>
      <c r="I40" s="92"/>
      <c r="J40" s="92"/>
      <c r="K40" s="92"/>
      <c r="L40" s="92"/>
      <c r="M40" s="92"/>
      <c r="N40" s="92"/>
      <c r="O40" s="92"/>
      <c r="P40" s="92"/>
      <c r="Q40" s="92"/>
      <c r="R40" s="92"/>
      <c r="S40" s="92"/>
      <c r="T40" s="92"/>
      <c r="U40" s="92"/>
      <c r="V40" s="92"/>
      <c r="W40" s="92"/>
      <c r="X40" s="98"/>
      <c r="Y40" s="98"/>
      <c r="Z40" s="92"/>
    </row>
    <row r="41" spans="1:28" x14ac:dyDescent="0.15">
      <c r="A41" s="101"/>
      <c r="B41" s="101" t="s">
        <v>244</v>
      </c>
      <c r="C41" s="92"/>
      <c r="D41" s="92"/>
      <c r="E41" s="92"/>
      <c r="F41" s="92"/>
      <c r="G41" s="92" t="s">
        <v>245</v>
      </c>
      <c r="H41" s="92"/>
      <c r="I41" s="92"/>
      <c r="J41" s="92"/>
      <c r="K41" s="92"/>
      <c r="L41" s="92"/>
      <c r="M41" s="92"/>
      <c r="N41" s="92"/>
      <c r="O41" s="92"/>
      <c r="P41" s="92"/>
      <c r="Q41" s="92"/>
      <c r="R41" s="92"/>
      <c r="S41" s="92"/>
      <c r="T41" s="92"/>
      <c r="U41" s="92"/>
      <c r="V41" s="92"/>
      <c r="W41" s="92"/>
      <c r="X41" s="98"/>
      <c r="Y41" s="98"/>
      <c r="Z41" s="92"/>
    </row>
    <row r="42" spans="1:28" x14ac:dyDescent="0.15">
      <c r="A42" s="101"/>
      <c r="B42" s="102"/>
      <c r="C42" s="93"/>
      <c r="D42" s="93"/>
      <c r="E42" s="93"/>
      <c r="F42" s="93"/>
      <c r="G42" s="93"/>
      <c r="H42" s="93"/>
      <c r="I42" s="93"/>
      <c r="J42" s="93"/>
      <c r="K42" s="93"/>
      <c r="L42" s="93"/>
      <c r="M42" s="93"/>
      <c r="N42" s="93"/>
      <c r="O42" s="93"/>
      <c r="P42" s="93"/>
      <c r="Q42" s="93"/>
      <c r="R42" s="93"/>
      <c r="S42" s="93"/>
      <c r="T42" s="93"/>
      <c r="U42" s="93"/>
      <c r="V42" s="93"/>
      <c r="W42" s="93"/>
      <c r="X42" s="103"/>
      <c r="Y42" s="98"/>
      <c r="Z42" s="92"/>
    </row>
    <row r="43" spans="1:28" x14ac:dyDescent="0.15">
      <c r="A43" s="102"/>
      <c r="B43" s="93"/>
      <c r="C43" s="93"/>
      <c r="D43" s="93"/>
      <c r="E43" s="93"/>
      <c r="F43" s="93"/>
      <c r="G43" s="93"/>
      <c r="H43" s="93"/>
      <c r="I43" s="93"/>
      <c r="J43" s="93"/>
      <c r="K43" s="93"/>
      <c r="L43" s="93"/>
      <c r="M43" s="93"/>
      <c r="N43" s="93"/>
      <c r="O43" s="93"/>
      <c r="P43" s="93"/>
      <c r="Q43" s="93"/>
      <c r="R43" s="93"/>
      <c r="S43" s="93"/>
      <c r="T43" s="93"/>
      <c r="U43" s="93"/>
      <c r="V43" s="93"/>
      <c r="W43" s="93"/>
      <c r="X43" s="93"/>
      <c r="Y43" s="103"/>
      <c r="Z43" s="92"/>
    </row>
  </sheetData>
  <mergeCells count="138">
    <mergeCell ref="W2:Y3"/>
    <mergeCell ref="A3:B3"/>
    <mergeCell ref="G3:I3"/>
    <mergeCell ref="C7:F7"/>
    <mergeCell ref="G7:I7"/>
    <mergeCell ref="J7:K7"/>
    <mergeCell ref="U7:X7"/>
    <mergeCell ref="A1:F2"/>
    <mergeCell ref="G1:I1"/>
    <mergeCell ref="P1:Q1"/>
    <mergeCell ref="R1:T1"/>
    <mergeCell ref="U1:V1"/>
    <mergeCell ref="W1:Y1"/>
    <mergeCell ref="G2:I2"/>
    <mergeCell ref="P2:Q3"/>
    <mergeCell ref="R2:T3"/>
    <mergeCell ref="U2:V3"/>
    <mergeCell ref="C10:F10"/>
    <mergeCell ref="G10:I10"/>
    <mergeCell ref="J10:K10"/>
    <mergeCell ref="U10:X10"/>
    <mergeCell ref="C11:F11"/>
    <mergeCell ref="G11:I11"/>
    <mergeCell ref="J11:K11"/>
    <mergeCell ref="U11:X11"/>
    <mergeCell ref="C8:F8"/>
    <mergeCell ref="G8:I8"/>
    <mergeCell ref="J8:K8"/>
    <mergeCell ref="U8:X8"/>
    <mergeCell ref="C9:F9"/>
    <mergeCell ref="G9:I9"/>
    <mergeCell ref="J9:K9"/>
    <mergeCell ref="U9:X9"/>
    <mergeCell ref="C14:F14"/>
    <mergeCell ref="G14:I14"/>
    <mergeCell ref="J14:K14"/>
    <mergeCell ref="U14:X14"/>
    <mergeCell ref="C15:F15"/>
    <mergeCell ref="G15:I15"/>
    <mergeCell ref="J15:K15"/>
    <mergeCell ref="U15:X15"/>
    <mergeCell ref="C12:F12"/>
    <mergeCell ref="G12:I12"/>
    <mergeCell ref="J12:K12"/>
    <mergeCell ref="U12:X12"/>
    <mergeCell ref="C13:F13"/>
    <mergeCell ref="G13:I13"/>
    <mergeCell ref="J13:K13"/>
    <mergeCell ref="U13:X13"/>
    <mergeCell ref="C18:F18"/>
    <mergeCell ref="G18:I18"/>
    <mergeCell ref="J18:K18"/>
    <mergeCell ref="U18:X18"/>
    <mergeCell ref="C19:F19"/>
    <mergeCell ref="G19:I19"/>
    <mergeCell ref="J19:K19"/>
    <mergeCell ref="U19:X19"/>
    <mergeCell ref="C16:F16"/>
    <mergeCell ref="G16:I16"/>
    <mergeCell ref="J16:K16"/>
    <mergeCell ref="U16:X16"/>
    <mergeCell ref="C17:F17"/>
    <mergeCell ref="G17:I17"/>
    <mergeCell ref="J17:K17"/>
    <mergeCell ref="U17:X17"/>
    <mergeCell ref="C22:F22"/>
    <mergeCell ref="G22:I22"/>
    <mergeCell ref="J22:K22"/>
    <mergeCell ref="U22:X22"/>
    <mergeCell ref="C23:F23"/>
    <mergeCell ref="G23:I23"/>
    <mergeCell ref="J23:K23"/>
    <mergeCell ref="U23:X23"/>
    <mergeCell ref="C20:F20"/>
    <mergeCell ref="G20:I20"/>
    <mergeCell ref="J20:K20"/>
    <mergeCell ref="U20:X20"/>
    <mergeCell ref="C21:F21"/>
    <mergeCell ref="G21:I21"/>
    <mergeCell ref="J21:K21"/>
    <mergeCell ref="U21:X21"/>
    <mergeCell ref="C26:F26"/>
    <mergeCell ref="G26:I26"/>
    <mergeCell ref="J26:K26"/>
    <mergeCell ref="U26:X26"/>
    <mergeCell ref="C27:F27"/>
    <mergeCell ref="G27:I27"/>
    <mergeCell ref="J27:K27"/>
    <mergeCell ref="U27:X27"/>
    <mergeCell ref="C24:F24"/>
    <mergeCell ref="G24:I24"/>
    <mergeCell ref="J24:K24"/>
    <mergeCell ref="U24:X24"/>
    <mergeCell ref="C25:F25"/>
    <mergeCell ref="G25:I25"/>
    <mergeCell ref="J25:K25"/>
    <mergeCell ref="U25:X25"/>
    <mergeCell ref="C30:F30"/>
    <mergeCell ref="G30:I30"/>
    <mergeCell ref="J30:K30"/>
    <mergeCell ref="U30:X30"/>
    <mergeCell ref="C31:F31"/>
    <mergeCell ref="G31:I31"/>
    <mergeCell ref="J31:K31"/>
    <mergeCell ref="U31:X31"/>
    <mergeCell ref="C28:F28"/>
    <mergeCell ref="G28:I28"/>
    <mergeCell ref="J28:K28"/>
    <mergeCell ref="U28:X28"/>
    <mergeCell ref="C29:F29"/>
    <mergeCell ref="G29:I29"/>
    <mergeCell ref="J29:K29"/>
    <mergeCell ref="U29:X29"/>
    <mergeCell ref="C34:F34"/>
    <mergeCell ref="G34:I34"/>
    <mergeCell ref="J34:K34"/>
    <mergeCell ref="U34:X34"/>
    <mergeCell ref="C35:F35"/>
    <mergeCell ref="G35:I35"/>
    <mergeCell ref="J35:K35"/>
    <mergeCell ref="U35:X35"/>
    <mergeCell ref="C32:F32"/>
    <mergeCell ref="G32:I32"/>
    <mergeCell ref="J32:K32"/>
    <mergeCell ref="U32:X32"/>
    <mergeCell ref="C33:F33"/>
    <mergeCell ref="G33:I33"/>
    <mergeCell ref="J33:K33"/>
    <mergeCell ref="U33:X33"/>
    <mergeCell ref="B38:X38"/>
    <mergeCell ref="C36:F36"/>
    <mergeCell ref="G36:I36"/>
    <mergeCell ref="J36:K36"/>
    <mergeCell ref="U36:X36"/>
    <mergeCell ref="C37:F37"/>
    <mergeCell ref="G37:I37"/>
    <mergeCell ref="J37:K37"/>
    <mergeCell ref="U37:X37"/>
  </mergeCells>
  <phoneticPr fontId="1"/>
  <conditionalFormatting sqref="J10:K37">
    <cfRule type="expression" dxfId="590" priority="7">
      <formula>ISERROR(AB10)</formula>
    </cfRule>
    <cfRule type="expression" dxfId="589" priority="8">
      <formula>ISBLANK(AB10)</formula>
    </cfRule>
    <cfRule type="expression" dxfId="588" priority="9">
      <formula>AND(J10&lt;&gt;"",AB10&lt;=0)</formula>
    </cfRule>
  </conditionalFormatting>
  <conditionalFormatting sqref="J8:K8">
    <cfRule type="expression" dxfId="587" priority="4">
      <formula>ISERROR(AB8)</formula>
    </cfRule>
    <cfRule type="expression" dxfId="586" priority="5">
      <formula>ISBLANK(AB8)</formula>
    </cfRule>
    <cfRule type="expression" dxfId="585" priority="6">
      <formula>AND(J8&lt;&gt;"",AB8&lt;=0)</formula>
    </cfRule>
  </conditionalFormatting>
  <conditionalFormatting sqref="J9:K9">
    <cfRule type="expression" dxfId="584" priority="1">
      <formula>ISERROR(AB9)</formula>
    </cfRule>
    <cfRule type="expression" dxfId="583" priority="2">
      <formula>ISBLANK(AB9)</formula>
    </cfRule>
    <cfRule type="expression" dxfId="582" priority="3">
      <formula>AND(J9&lt;&gt;"",AB9&lt;=0)</formula>
    </cfRule>
  </conditionalFormatting>
  <printOptions horizontalCentered="1"/>
  <pageMargins left="0.23622047244094491" right="0.23622047244094491" top="0.39370078740157483" bottom="0.39370078740157483" header="0" footer="0"/>
  <pageSetup paperSize="9" fitToHeight="0" orientation="landscape" r:id="rId1"/>
  <headerFooter alignWithMargins="0">
    <oddFooter>&amp;L&amp;F&amp;R&amp;P / &amp;N</oddFooter>
  </headerFooter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4"/>
  <dimension ref="A1:AE43"/>
  <sheetViews>
    <sheetView showGridLines="0" view="pageBreakPreview" zoomScaleNormal="85" zoomScaleSheetLayoutView="100" workbookViewId="0">
      <selection activeCell="J15" sqref="J15:K15"/>
    </sheetView>
  </sheetViews>
  <sheetFormatPr defaultColWidth="5.625" defaultRowHeight="13.5" x14ac:dyDescent="0.15"/>
  <cols>
    <col min="1" max="16" width="5.625" style="12" customWidth="1"/>
    <col min="17" max="25" width="5.625" style="12"/>
    <col min="26" max="26" width="12.75" style="96" bestFit="1" customWidth="1"/>
    <col min="27" max="27" width="12.75" style="12" bestFit="1" customWidth="1"/>
    <col min="28" max="28" width="18.375" style="12" bestFit="1" customWidth="1"/>
    <col min="29" max="238" width="5.625" style="12"/>
    <col min="239" max="254" width="5.625" style="12" customWidth="1"/>
    <col min="255" max="494" width="5.625" style="12"/>
    <col min="495" max="510" width="5.625" style="12" customWidth="1"/>
    <col min="511" max="750" width="5.625" style="12"/>
    <col min="751" max="766" width="5.625" style="12" customWidth="1"/>
    <col min="767" max="1006" width="5.625" style="12"/>
    <col min="1007" max="1022" width="5.625" style="12" customWidth="1"/>
    <col min="1023" max="1262" width="5.625" style="12"/>
    <col min="1263" max="1278" width="5.625" style="12" customWidth="1"/>
    <col min="1279" max="1518" width="5.625" style="12"/>
    <col min="1519" max="1534" width="5.625" style="12" customWidth="1"/>
    <col min="1535" max="1774" width="5.625" style="12"/>
    <col min="1775" max="1790" width="5.625" style="12" customWidth="1"/>
    <col min="1791" max="2030" width="5.625" style="12"/>
    <col min="2031" max="2046" width="5.625" style="12" customWidth="1"/>
    <col min="2047" max="2286" width="5.625" style="12"/>
    <col min="2287" max="2302" width="5.625" style="12" customWidth="1"/>
    <col min="2303" max="2542" width="5.625" style="12"/>
    <col min="2543" max="2558" width="5.625" style="12" customWidth="1"/>
    <col min="2559" max="2798" width="5.625" style="12"/>
    <col min="2799" max="2814" width="5.625" style="12" customWidth="1"/>
    <col min="2815" max="3054" width="5.625" style="12"/>
    <col min="3055" max="3070" width="5.625" style="12" customWidth="1"/>
    <col min="3071" max="3310" width="5.625" style="12"/>
    <col min="3311" max="3326" width="5.625" style="12" customWidth="1"/>
    <col min="3327" max="3566" width="5.625" style="12"/>
    <col min="3567" max="3582" width="5.625" style="12" customWidth="1"/>
    <col min="3583" max="3822" width="5.625" style="12"/>
    <col min="3823" max="3838" width="5.625" style="12" customWidth="1"/>
    <col min="3839" max="4078" width="5.625" style="12"/>
    <col min="4079" max="4094" width="5.625" style="12" customWidth="1"/>
    <col min="4095" max="4334" width="5.625" style="12"/>
    <col min="4335" max="4350" width="5.625" style="12" customWidth="1"/>
    <col min="4351" max="4590" width="5.625" style="12"/>
    <col min="4591" max="4606" width="5.625" style="12" customWidth="1"/>
    <col min="4607" max="4846" width="5.625" style="12"/>
    <col min="4847" max="4862" width="5.625" style="12" customWidth="1"/>
    <col min="4863" max="5102" width="5.625" style="12"/>
    <col min="5103" max="5118" width="5.625" style="12" customWidth="1"/>
    <col min="5119" max="5358" width="5.625" style="12"/>
    <col min="5359" max="5374" width="5.625" style="12" customWidth="1"/>
    <col min="5375" max="5614" width="5.625" style="12"/>
    <col min="5615" max="5630" width="5.625" style="12" customWidth="1"/>
    <col min="5631" max="5870" width="5.625" style="12"/>
    <col min="5871" max="5886" width="5.625" style="12" customWidth="1"/>
    <col min="5887" max="6126" width="5.625" style="12"/>
    <col min="6127" max="6142" width="5.625" style="12" customWidth="1"/>
    <col min="6143" max="6382" width="5.625" style="12"/>
    <col min="6383" max="6398" width="5.625" style="12" customWidth="1"/>
    <col min="6399" max="6638" width="5.625" style="12"/>
    <col min="6639" max="6654" width="5.625" style="12" customWidth="1"/>
    <col min="6655" max="6894" width="5.625" style="12"/>
    <col min="6895" max="6910" width="5.625" style="12" customWidth="1"/>
    <col min="6911" max="7150" width="5.625" style="12"/>
    <col min="7151" max="7166" width="5.625" style="12" customWidth="1"/>
    <col min="7167" max="7406" width="5.625" style="12"/>
    <col min="7407" max="7422" width="5.625" style="12" customWidth="1"/>
    <col min="7423" max="7662" width="5.625" style="12"/>
    <col min="7663" max="7678" width="5.625" style="12" customWidth="1"/>
    <col min="7679" max="7918" width="5.625" style="12"/>
    <col min="7919" max="7934" width="5.625" style="12" customWidth="1"/>
    <col min="7935" max="8174" width="5.625" style="12"/>
    <col min="8175" max="8190" width="5.625" style="12" customWidth="1"/>
    <col min="8191" max="8430" width="5.625" style="12"/>
    <col min="8431" max="8446" width="5.625" style="12" customWidth="1"/>
    <col min="8447" max="8686" width="5.625" style="12"/>
    <col min="8687" max="8702" width="5.625" style="12" customWidth="1"/>
    <col min="8703" max="8942" width="5.625" style="12"/>
    <col min="8943" max="8958" width="5.625" style="12" customWidth="1"/>
    <col min="8959" max="9198" width="5.625" style="12"/>
    <col min="9199" max="9214" width="5.625" style="12" customWidth="1"/>
    <col min="9215" max="9454" width="5.625" style="12"/>
    <col min="9455" max="9470" width="5.625" style="12" customWidth="1"/>
    <col min="9471" max="9710" width="5.625" style="12"/>
    <col min="9711" max="9726" width="5.625" style="12" customWidth="1"/>
    <col min="9727" max="9966" width="5.625" style="12"/>
    <col min="9967" max="9982" width="5.625" style="12" customWidth="1"/>
    <col min="9983" max="10222" width="5.625" style="12"/>
    <col min="10223" max="10238" width="5.625" style="12" customWidth="1"/>
    <col min="10239" max="10478" width="5.625" style="12"/>
    <col min="10479" max="10494" width="5.625" style="12" customWidth="1"/>
    <col min="10495" max="10734" width="5.625" style="12"/>
    <col min="10735" max="10750" width="5.625" style="12" customWidth="1"/>
    <col min="10751" max="10990" width="5.625" style="12"/>
    <col min="10991" max="11006" width="5.625" style="12" customWidth="1"/>
    <col min="11007" max="11246" width="5.625" style="12"/>
    <col min="11247" max="11262" width="5.625" style="12" customWidth="1"/>
    <col min="11263" max="11502" width="5.625" style="12"/>
    <col min="11503" max="11518" width="5.625" style="12" customWidth="1"/>
    <col min="11519" max="11758" width="5.625" style="12"/>
    <col min="11759" max="11774" width="5.625" style="12" customWidth="1"/>
    <col min="11775" max="12014" width="5.625" style="12"/>
    <col min="12015" max="12030" width="5.625" style="12" customWidth="1"/>
    <col min="12031" max="12270" width="5.625" style="12"/>
    <col min="12271" max="12286" width="5.625" style="12" customWidth="1"/>
    <col min="12287" max="12526" width="5.625" style="12"/>
    <col min="12527" max="12542" width="5.625" style="12" customWidth="1"/>
    <col min="12543" max="12782" width="5.625" style="12"/>
    <col min="12783" max="12798" width="5.625" style="12" customWidth="1"/>
    <col min="12799" max="13038" width="5.625" style="12"/>
    <col min="13039" max="13054" width="5.625" style="12" customWidth="1"/>
    <col min="13055" max="13294" width="5.625" style="12"/>
    <col min="13295" max="13310" width="5.625" style="12" customWidth="1"/>
    <col min="13311" max="13550" width="5.625" style="12"/>
    <col min="13551" max="13566" width="5.625" style="12" customWidth="1"/>
    <col min="13567" max="13806" width="5.625" style="12"/>
    <col min="13807" max="13822" width="5.625" style="12" customWidth="1"/>
    <col min="13823" max="14062" width="5.625" style="12"/>
    <col min="14063" max="14078" width="5.625" style="12" customWidth="1"/>
    <col min="14079" max="14318" width="5.625" style="12"/>
    <col min="14319" max="14334" width="5.625" style="12" customWidth="1"/>
    <col min="14335" max="14574" width="5.625" style="12"/>
    <col min="14575" max="14590" width="5.625" style="12" customWidth="1"/>
    <col min="14591" max="14830" width="5.625" style="12"/>
    <col min="14831" max="14846" width="5.625" style="12" customWidth="1"/>
    <col min="14847" max="15086" width="5.625" style="12"/>
    <col min="15087" max="15102" width="5.625" style="12" customWidth="1"/>
    <col min="15103" max="15342" width="5.625" style="12"/>
    <col min="15343" max="15358" width="5.625" style="12" customWidth="1"/>
    <col min="15359" max="15598" width="5.625" style="12"/>
    <col min="15599" max="15614" width="5.625" style="12" customWidth="1"/>
    <col min="15615" max="15854" width="5.625" style="12"/>
    <col min="15855" max="15870" width="5.625" style="12" customWidth="1"/>
    <col min="15871" max="16110" width="5.625" style="12"/>
    <col min="16111" max="16126" width="5.625" style="12" customWidth="1"/>
    <col min="16127" max="16384" width="5.625" style="12"/>
  </cols>
  <sheetData>
    <row r="1" spans="1:31" ht="13.5" customHeight="1" x14ac:dyDescent="0.15">
      <c r="A1" s="260" t="s">
        <v>81</v>
      </c>
      <c r="B1" s="261"/>
      <c r="C1" s="261"/>
      <c r="D1" s="261"/>
      <c r="E1" s="261"/>
      <c r="F1" s="262"/>
      <c r="G1" s="311" t="s">
        <v>5</v>
      </c>
      <c r="H1" s="312"/>
      <c r="I1" s="313"/>
      <c r="J1" s="21"/>
      <c r="K1" s="94"/>
      <c r="L1" s="94"/>
      <c r="M1" s="94"/>
      <c r="N1" s="94"/>
      <c r="O1" s="94"/>
      <c r="P1" s="311" t="s">
        <v>8</v>
      </c>
      <c r="Q1" s="313"/>
      <c r="R1" s="311" t="s">
        <v>7</v>
      </c>
      <c r="S1" s="312"/>
      <c r="T1" s="313"/>
      <c r="U1" s="311" t="s">
        <v>9</v>
      </c>
      <c r="V1" s="313"/>
      <c r="W1" s="311" t="s">
        <v>10</v>
      </c>
      <c r="X1" s="312"/>
      <c r="Y1" s="313"/>
      <c r="Z1" s="107"/>
      <c r="AA1" s="12" t="s">
        <v>128</v>
      </c>
      <c r="AE1" s="12" t="s">
        <v>124</v>
      </c>
    </row>
    <row r="2" spans="1:31" ht="13.5" customHeight="1" x14ac:dyDescent="0.15">
      <c r="A2" s="266"/>
      <c r="B2" s="267"/>
      <c r="C2" s="267"/>
      <c r="D2" s="267"/>
      <c r="E2" s="267"/>
      <c r="F2" s="268"/>
      <c r="G2" s="311" t="s">
        <v>6</v>
      </c>
      <c r="H2" s="312"/>
      <c r="I2" s="313"/>
      <c r="J2" s="21"/>
      <c r="K2" s="95"/>
      <c r="L2" s="95"/>
      <c r="M2" s="95"/>
      <c r="N2" s="95"/>
      <c r="O2" s="95"/>
      <c r="P2" s="246"/>
      <c r="Q2" s="247"/>
      <c r="R2" s="273"/>
      <c r="S2" s="274"/>
      <c r="T2" s="275"/>
      <c r="U2" s="246"/>
      <c r="V2" s="247"/>
      <c r="W2" s="273"/>
      <c r="X2" s="274"/>
      <c r="Y2" s="275"/>
      <c r="Z2" s="107"/>
      <c r="AA2" s="12">
        <f>SUM(AB:AB)</f>
        <v>260</v>
      </c>
    </row>
    <row r="3" spans="1:31" ht="13.5" customHeight="1" x14ac:dyDescent="0.15">
      <c r="A3" s="311" t="s">
        <v>82</v>
      </c>
      <c r="B3" s="312"/>
      <c r="C3" s="21" t="str">
        <f ca="1">RIGHT(CELL("filename",A2),LEN(CELL("filename",A2))-FIND("]",CELL("filename",A2)))</f>
        <v>ﾘｽｸﾎﾟｲﾝﾄ</v>
      </c>
      <c r="D3" s="95"/>
      <c r="E3" s="95"/>
      <c r="F3" s="95"/>
      <c r="G3" s="311" t="s">
        <v>83</v>
      </c>
      <c r="H3" s="312"/>
      <c r="I3" s="313"/>
      <c r="J3" s="21" t="s">
        <v>350</v>
      </c>
      <c r="K3" s="95"/>
      <c r="L3" s="95"/>
      <c r="M3" s="95"/>
      <c r="N3" s="95"/>
      <c r="O3" s="95"/>
      <c r="P3" s="248"/>
      <c r="Q3" s="249"/>
      <c r="R3" s="276"/>
      <c r="S3" s="277"/>
      <c r="T3" s="278"/>
      <c r="U3" s="248"/>
      <c r="V3" s="249"/>
      <c r="W3" s="276"/>
      <c r="X3" s="277"/>
      <c r="Y3" s="278"/>
      <c r="Z3" s="107"/>
    </row>
    <row r="4" spans="1:31" x14ac:dyDescent="0.15">
      <c r="A4" s="86"/>
      <c r="B4" s="18"/>
      <c r="C4" s="18"/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  <c r="O4" s="18"/>
      <c r="P4" s="18"/>
      <c r="Q4" s="18"/>
      <c r="R4" s="18"/>
      <c r="S4" s="18"/>
      <c r="T4" s="18"/>
      <c r="U4" s="18"/>
      <c r="V4" s="18"/>
      <c r="W4" s="18"/>
      <c r="X4" s="18"/>
      <c r="Y4" s="18"/>
      <c r="Z4" s="92"/>
    </row>
    <row r="5" spans="1:31" ht="13.5" customHeight="1" x14ac:dyDescent="0.15">
      <c r="A5" s="83" t="s">
        <v>93</v>
      </c>
      <c r="B5" s="84"/>
      <c r="C5" s="84"/>
      <c r="D5" s="84"/>
      <c r="E5" s="84"/>
      <c r="F5" s="84"/>
      <c r="G5" s="84"/>
      <c r="H5" s="84"/>
      <c r="I5" s="84"/>
      <c r="J5" s="84"/>
      <c r="K5" s="84"/>
      <c r="L5" s="84"/>
      <c r="M5" s="84"/>
      <c r="N5" s="84"/>
      <c r="O5" s="84"/>
      <c r="P5" s="84"/>
      <c r="Q5" s="84"/>
      <c r="R5" s="84"/>
      <c r="S5" s="84"/>
      <c r="T5" s="84"/>
      <c r="U5" s="84"/>
      <c r="V5" s="84"/>
      <c r="W5" s="84"/>
      <c r="X5" s="84"/>
      <c r="Y5" s="85"/>
      <c r="Z5" s="92"/>
    </row>
    <row r="6" spans="1:31" x14ac:dyDescent="0.15">
      <c r="A6" s="152"/>
      <c r="B6" s="153"/>
      <c r="C6" s="153"/>
      <c r="D6" s="153"/>
      <c r="E6" s="153"/>
      <c r="F6" s="153"/>
      <c r="G6" s="153"/>
      <c r="H6" s="153"/>
      <c r="I6" s="153"/>
      <c r="J6" s="153"/>
      <c r="K6" s="153"/>
      <c r="L6" s="153"/>
      <c r="M6" s="153"/>
      <c r="N6" s="153"/>
      <c r="O6" s="153"/>
      <c r="P6" s="153"/>
      <c r="Q6" s="153"/>
      <c r="R6" s="153"/>
      <c r="S6" s="153"/>
      <c r="T6" s="153"/>
      <c r="U6" s="153"/>
      <c r="V6" s="153"/>
      <c r="W6" s="153"/>
      <c r="X6" s="153"/>
      <c r="Y6" s="154"/>
      <c r="Z6" s="92"/>
    </row>
    <row r="7" spans="1:31" x14ac:dyDescent="0.15">
      <c r="A7" s="17"/>
      <c r="B7" s="151" t="s">
        <v>84</v>
      </c>
      <c r="C7" s="311" t="s">
        <v>205</v>
      </c>
      <c r="D7" s="312"/>
      <c r="E7" s="312"/>
      <c r="F7" s="313"/>
      <c r="G7" s="311" t="s">
        <v>83</v>
      </c>
      <c r="H7" s="312"/>
      <c r="I7" s="313"/>
      <c r="J7" s="311" t="s">
        <v>85</v>
      </c>
      <c r="K7" s="313"/>
      <c r="L7" s="97" t="s">
        <v>86</v>
      </c>
      <c r="M7" s="97" t="s">
        <v>87</v>
      </c>
      <c r="N7" s="97" t="s">
        <v>121</v>
      </c>
      <c r="O7" s="97" t="s">
        <v>88</v>
      </c>
      <c r="P7" s="97" t="s">
        <v>89</v>
      </c>
      <c r="Q7" s="97" t="s">
        <v>89</v>
      </c>
      <c r="R7" s="97" t="s">
        <v>89</v>
      </c>
      <c r="S7" s="97" t="s">
        <v>89</v>
      </c>
      <c r="T7" s="97" t="s">
        <v>89</v>
      </c>
      <c r="U7" s="311" t="s">
        <v>90</v>
      </c>
      <c r="V7" s="312"/>
      <c r="W7" s="312"/>
      <c r="X7" s="313"/>
      <c r="Y7" s="98"/>
      <c r="Z7" s="96" t="s">
        <v>126</v>
      </c>
      <c r="AA7" s="12" t="s">
        <v>127</v>
      </c>
      <c r="AB7" s="12" t="s">
        <v>125</v>
      </c>
    </row>
    <row r="8" spans="1:31" x14ac:dyDescent="0.15">
      <c r="A8" s="17"/>
      <c r="B8" s="99" t="s">
        <v>94</v>
      </c>
      <c r="C8" s="301" t="s">
        <v>211</v>
      </c>
      <c r="D8" s="302"/>
      <c r="E8" s="302"/>
      <c r="F8" s="303"/>
      <c r="G8" s="304" t="s">
        <v>344</v>
      </c>
      <c r="H8" s="305"/>
      <c r="I8" s="306"/>
      <c r="J8" s="304" t="s">
        <v>351</v>
      </c>
      <c r="K8" s="306"/>
      <c r="L8" s="100">
        <v>1</v>
      </c>
      <c r="M8" s="100"/>
      <c r="N8" s="100"/>
      <c r="O8" s="100"/>
      <c r="P8" s="100"/>
      <c r="Q8" s="100"/>
      <c r="R8" s="100"/>
      <c r="S8" s="100"/>
      <c r="T8" s="100"/>
      <c r="U8" s="307" t="s">
        <v>210</v>
      </c>
      <c r="V8" s="308"/>
      <c r="W8" s="308"/>
      <c r="X8" s="309"/>
      <c r="Y8" s="98"/>
      <c r="Z8" s="106">
        <f t="shared" ref="Z8:Z16" si="0">IF(LEFT(J8,7)="decimal",INT(MID(J8,9,FIND(",",J8,9)-9)),0)</f>
        <v>0</v>
      </c>
      <c r="AA8" s="105">
        <f t="shared" ref="AA8:AA37" si="1">IF(J8="varbinary(max)",2147483647,IF(J8="bit",1,IF(LEFT(J8,4)="char",INT(MID(J8,6,LEN(J8)-6)),IF(LEFT(J8,7)="varchar",INT(MID(J8,9,LEN(J8)-9)+2),IF(LEFT(J8,8)="nvarchar",INT(MID(J8,10,LEN(J8)-10)*2+2),IF(LEFT(J8,7)="decimal",IF(Z8&lt;10,5,IF(Z8&lt;20,9,IF(Z8&lt;29,13,17))),0))))))</f>
        <v>0</v>
      </c>
      <c r="AB8" s="105">
        <f t="shared" ref="AB8:AB37" si="2">IF(AA8&gt;0,AA8,IF(J8="date",3,IF(OR(J8="int",J8="real"),4,IF(J8="time",5,IF(OR(J8="datetime",J8="float",J8="datetime2"),8,IF(J8="uniqueidentifier",16,0))))))</f>
        <v>0</v>
      </c>
    </row>
    <row r="9" spans="1:31" x14ac:dyDescent="0.15">
      <c r="A9" s="17"/>
      <c r="B9" s="99">
        <f>B8+1</f>
        <v>2</v>
      </c>
      <c r="C9" s="181" t="s">
        <v>233</v>
      </c>
      <c r="D9" s="182"/>
      <c r="E9" s="182"/>
      <c r="F9" s="183"/>
      <c r="G9" s="304" t="s">
        <v>345</v>
      </c>
      <c r="H9" s="305"/>
      <c r="I9" s="306"/>
      <c r="J9" s="304" t="s">
        <v>225</v>
      </c>
      <c r="K9" s="306"/>
      <c r="L9" s="100"/>
      <c r="M9" s="180" t="s">
        <v>92</v>
      </c>
      <c r="N9" s="104" t="s">
        <v>235</v>
      </c>
      <c r="O9" s="100"/>
      <c r="P9" s="100"/>
      <c r="Q9" s="100"/>
      <c r="R9" s="100"/>
      <c r="S9" s="100"/>
      <c r="T9" s="100"/>
      <c r="U9" s="301"/>
      <c r="V9" s="302"/>
      <c r="W9" s="302"/>
      <c r="X9" s="303"/>
      <c r="Y9" s="98"/>
      <c r="Z9" s="106">
        <f t="shared" si="0"/>
        <v>0</v>
      </c>
      <c r="AA9" s="105">
        <f t="shared" si="1"/>
        <v>130</v>
      </c>
      <c r="AB9" s="105">
        <f t="shared" si="2"/>
        <v>130</v>
      </c>
    </row>
    <row r="10" spans="1:31" x14ac:dyDescent="0.15">
      <c r="A10" s="17"/>
      <c r="B10" s="99">
        <f t="shared" ref="B10:B37" si="3">B9+1</f>
        <v>3</v>
      </c>
      <c r="C10" s="301" t="s">
        <v>234</v>
      </c>
      <c r="D10" s="302"/>
      <c r="E10" s="302"/>
      <c r="F10" s="303"/>
      <c r="G10" s="304" t="s">
        <v>346</v>
      </c>
      <c r="H10" s="305"/>
      <c r="I10" s="306"/>
      <c r="J10" s="304" t="s">
        <v>225</v>
      </c>
      <c r="K10" s="306"/>
      <c r="L10" s="100"/>
      <c r="M10" s="180" t="s">
        <v>92</v>
      </c>
      <c r="N10" s="104" t="s">
        <v>235</v>
      </c>
      <c r="O10" s="100"/>
      <c r="P10" s="100"/>
      <c r="Q10" s="100"/>
      <c r="R10" s="100"/>
      <c r="S10" s="100"/>
      <c r="T10" s="100"/>
      <c r="U10" s="301"/>
      <c r="V10" s="302"/>
      <c r="W10" s="302"/>
      <c r="X10" s="303"/>
      <c r="Y10" s="98"/>
      <c r="Z10" s="106">
        <f t="shared" si="0"/>
        <v>0</v>
      </c>
      <c r="AA10" s="105">
        <f t="shared" si="1"/>
        <v>130</v>
      </c>
      <c r="AB10" s="105">
        <f t="shared" si="2"/>
        <v>130</v>
      </c>
    </row>
    <row r="11" spans="1:31" x14ac:dyDescent="0.15">
      <c r="A11" s="17"/>
      <c r="B11" s="99">
        <f t="shared" si="3"/>
        <v>4</v>
      </c>
      <c r="C11" s="301" t="s">
        <v>212</v>
      </c>
      <c r="D11" s="302"/>
      <c r="E11" s="302"/>
      <c r="F11" s="303"/>
      <c r="G11" s="304" t="s">
        <v>347</v>
      </c>
      <c r="H11" s="305"/>
      <c r="I11" s="306"/>
      <c r="J11" s="304" t="s">
        <v>351</v>
      </c>
      <c r="K11" s="306"/>
      <c r="L11" s="100"/>
      <c r="M11" s="100"/>
      <c r="N11" s="100"/>
      <c r="O11" s="100"/>
      <c r="P11" s="100"/>
      <c r="Q11" s="100"/>
      <c r="R11" s="100"/>
      <c r="S11" s="100"/>
      <c r="T11" s="100"/>
      <c r="U11" s="301"/>
      <c r="V11" s="302"/>
      <c r="W11" s="302"/>
      <c r="X11" s="303"/>
      <c r="Y11" s="98"/>
      <c r="Z11" s="106">
        <f t="shared" si="0"/>
        <v>0</v>
      </c>
      <c r="AA11" s="105">
        <f t="shared" si="1"/>
        <v>0</v>
      </c>
      <c r="AB11" s="105">
        <f t="shared" si="2"/>
        <v>0</v>
      </c>
    </row>
    <row r="12" spans="1:31" x14ac:dyDescent="0.15">
      <c r="A12" s="17"/>
      <c r="B12" s="99">
        <f t="shared" si="3"/>
        <v>5</v>
      </c>
      <c r="C12" s="301" t="s">
        <v>213</v>
      </c>
      <c r="D12" s="302"/>
      <c r="E12" s="302"/>
      <c r="F12" s="303"/>
      <c r="G12" s="304" t="s">
        <v>348</v>
      </c>
      <c r="H12" s="305"/>
      <c r="I12" s="306"/>
      <c r="J12" s="304" t="s">
        <v>351</v>
      </c>
      <c r="K12" s="306"/>
      <c r="L12" s="100"/>
      <c r="M12" s="100"/>
      <c r="N12" s="100"/>
      <c r="O12" s="100"/>
      <c r="P12" s="100"/>
      <c r="Q12" s="100"/>
      <c r="R12" s="100"/>
      <c r="S12" s="100"/>
      <c r="T12" s="100"/>
      <c r="U12" s="301"/>
      <c r="V12" s="302"/>
      <c r="W12" s="302"/>
      <c r="X12" s="303"/>
      <c r="Y12" s="98"/>
      <c r="Z12" s="106">
        <f t="shared" si="0"/>
        <v>0</v>
      </c>
      <c r="AA12" s="105">
        <f t="shared" si="1"/>
        <v>0</v>
      </c>
      <c r="AB12" s="105">
        <f t="shared" si="2"/>
        <v>0</v>
      </c>
    </row>
    <row r="13" spans="1:31" x14ac:dyDescent="0.15">
      <c r="A13" s="17"/>
      <c r="B13" s="99">
        <f t="shared" si="3"/>
        <v>6</v>
      </c>
      <c r="C13" s="301" t="s">
        <v>248</v>
      </c>
      <c r="D13" s="302"/>
      <c r="E13" s="302"/>
      <c r="F13" s="303"/>
      <c r="G13" s="304" t="s">
        <v>349</v>
      </c>
      <c r="H13" s="305"/>
      <c r="I13" s="306"/>
      <c r="J13" s="304" t="s">
        <v>351</v>
      </c>
      <c r="K13" s="306"/>
      <c r="L13" s="100"/>
      <c r="M13" s="180" t="s">
        <v>92</v>
      </c>
      <c r="N13" s="100">
        <v>0</v>
      </c>
      <c r="O13" s="100"/>
      <c r="P13" s="100"/>
      <c r="Q13" s="100"/>
      <c r="R13" s="100"/>
      <c r="S13" s="100"/>
      <c r="T13" s="100"/>
      <c r="U13" s="301" t="s">
        <v>246</v>
      </c>
      <c r="V13" s="302"/>
      <c r="W13" s="302"/>
      <c r="X13" s="303"/>
      <c r="Y13" s="98"/>
      <c r="Z13" s="106">
        <f t="shared" si="0"/>
        <v>0</v>
      </c>
      <c r="AA13" s="105">
        <f t="shared" si="1"/>
        <v>0</v>
      </c>
      <c r="AB13" s="105">
        <f>IF(AA13&gt;0,AA13,IF(J13="date",3,IF(OR(J13="int",J13="real"),4,IF(J13="time",5,IF(OR(J13="datetime",J13="float",J13="datetime2"),8,IF(J13="uniqueidentifier",16,0))))))</f>
        <v>0</v>
      </c>
    </row>
    <row r="14" spans="1:31" x14ac:dyDescent="0.15">
      <c r="A14" s="17"/>
      <c r="B14" s="99">
        <f t="shared" si="3"/>
        <v>7</v>
      </c>
      <c r="C14" s="301"/>
      <c r="D14" s="302"/>
      <c r="E14" s="302"/>
      <c r="F14" s="303"/>
      <c r="G14" s="304"/>
      <c r="H14" s="305"/>
      <c r="I14" s="306"/>
      <c r="J14" s="304"/>
      <c r="K14" s="306"/>
      <c r="L14" s="100"/>
      <c r="M14" s="180"/>
      <c r="N14" s="100"/>
      <c r="O14" s="100"/>
      <c r="P14" s="100"/>
      <c r="Q14" s="100"/>
      <c r="R14" s="100"/>
      <c r="S14" s="100"/>
      <c r="T14" s="100"/>
      <c r="U14" s="301"/>
      <c r="V14" s="302"/>
      <c r="W14" s="302"/>
      <c r="X14" s="303"/>
      <c r="Y14" s="98"/>
      <c r="Z14" s="106">
        <f t="shared" si="0"/>
        <v>0</v>
      </c>
      <c r="AA14" s="105">
        <f t="shared" si="1"/>
        <v>0</v>
      </c>
      <c r="AB14" s="105">
        <f t="shared" si="2"/>
        <v>0</v>
      </c>
    </row>
    <row r="15" spans="1:31" x14ac:dyDescent="0.15">
      <c r="A15" s="101"/>
      <c r="B15" s="99">
        <f t="shared" si="3"/>
        <v>8</v>
      </c>
      <c r="C15" s="301"/>
      <c r="D15" s="302"/>
      <c r="E15" s="302"/>
      <c r="F15" s="303"/>
      <c r="G15" s="304"/>
      <c r="H15" s="305"/>
      <c r="I15" s="306"/>
      <c r="J15" s="304"/>
      <c r="K15" s="306"/>
      <c r="L15" s="100"/>
      <c r="M15" s="100"/>
      <c r="N15" s="100"/>
      <c r="O15" s="100"/>
      <c r="P15" s="100"/>
      <c r="Q15" s="100"/>
      <c r="R15" s="100"/>
      <c r="S15" s="100"/>
      <c r="T15" s="100"/>
      <c r="U15" s="301"/>
      <c r="V15" s="302"/>
      <c r="W15" s="302"/>
      <c r="X15" s="303"/>
      <c r="Y15" s="98"/>
      <c r="Z15" s="106">
        <f t="shared" si="0"/>
        <v>0</v>
      </c>
      <c r="AA15" s="105">
        <f t="shared" si="1"/>
        <v>0</v>
      </c>
      <c r="AB15" s="105">
        <f t="shared" si="2"/>
        <v>0</v>
      </c>
    </row>
    <row r="16" spans="1:31" x14ac:dyDescent="0.15">
      <c r="A16" s="101"/>
      <c r="B16" s="99">
        <f t="shared" si="3"/>
        <v>9</v>
      </c>
      <c r="C16" s="301"/>
      <c r="D16" s="302"/>
      <c r="E16" s="302"/>
      <c r="F16" s="303"/>
      <c r="G16" s="304"/>
      <c r="H16" s="305"/>
      <c r="I16" s="306"/>
      <c r="J16" s="304"/>
      <c r="K16" s="306"/>
      <c r="L16" s="100"/>
      <c r="M16" s="100"/>
      <c r="N16" s="100"/>
      <c r="O16" s="100"/>
      <c r="P16" s="100"/>
      <c r="Q16" s="100"/>
      <c r="R16" s="100"/>
      <c r="S16" s="100"/>
      <c r="T16" s="100"/>
      <c r="U16" s="301"/>
      <c r="V16" s="302"/>
      <c r="W16" s="302"/>
      <c r="X16" s="303"/>
      <c r="Y16" s="98"/>
      <c r="Z16" s="106">
        <f t="shared" si="0"/>
        <v>0</v>
      </c>
      <c r="AA16" s="105">
        <f t="shared" si="1"/>
        <v>0</v>
      </c>
      <c r="AB16" s="105">
        <f t="shared" si="2"/>
        <v>0</v>
      </c>
    </row>
    <row r="17" spans="1:28" x14ac:dyDescent="0.15">
      <c r="A17" s="101"/>
      <c r="B17" s="99">
        <f t="shared" si="3"/>
        <v>10</v>
      </c>
      <c r="C17" s="301"/>
      <c r="D17" s="302"/>
      <c r="E17" s="302"/>
      <c r="F17" s="303"/>
      <c r="G17" s="304"/>
      <c r="H17" s="305"/>
      <c r="I17" s="306"/>
      <c r="J17" s="304"/>
      <c r="K17" s="306"/>
      <c r="L17" s="100"/>
      <c r="M17" s="100"/>
      <c r="N17" s="100"/>
      <c r="O17" s="100"/>
      <c r="P17" s="100"/>
      <c r="Q17" s="100"/>
      <c r="R17" s="100"/>
      <c r="S17" s="100"/>
      <c r="T17" s="100"/>
      <c r="U17" s="301"/>
      <c r="V17" s="302"/>
      <c r="W17" s="302"/>
      <c r="X17" s="303"/>
      <c r="Y17" s="98"/>
      <c r="Z17" s="106">
        <f>IF(LEFT(J17,7)="decimal",INT(MID(J17,9,FIND(",",J17,9)-9)),0)</f>
        <v>0</v>
      </c>
      <c r="AA17" s="105">
        <f t="shared" si="1"/>
        <v>0</v>
      </c>
      <c r="AB17" s="105">
        <f t="shared" si="2"/>
        <v>0</v>
      </c>
    </row>
    <row r="18" spans="1:28" x14ac:dyDescent="0.15">
      <c r="A18" s="101"/>
      <c r="B18" s="99">
        <f t="shared" si="3"/>
        <v>11</v>
      </c>
      <c r="C18" s="301"/>
      <c r="D18" s="302"/>
      <c r="E18" s="302"/>
      <c r="F18" s="303"/>
      <c r="G18" s="304"/>
      <c r="H18" s="305"/>
      <c r="I18" s="306"/>
      <c r="J18" s="304"/>
      <c r="K18" s="306"/>
      <c r="L18" s="100"/>
      <c r="M18" s="100"/>
      <c r="N18" s="100"/>
      <c r="O18" s="100"/>
      <c r="P18" s="100"/>
      <c r="Q18" s="100"/>
      <c r="R18" s="100"/>
      <c r="S18" s="100"/>
      <c r="T18" s="100"/>
      <c r="U18" s="301"/>
      <c r="V18" s="302"/>
      <c r="W18" s="302"/>
      <c r="X18" s="303"/>
      <c r="Y18" s="98"/>
      <c r="Z18" s="106">
        <f t="shared" ref="Z18:Z37" si="4">IF(LEFT(J18,7)="decimal",INT(MID(J18,9,FIND(",",J18,9)-9)),0)</f>
        <v>0</v>
      </c>
      <c r="AA18" s="105">
        <f t="shared" si="1"/>
        <v>0</v>
      </c>
      <c r="AB18" s="105">
        <f t="shared" si="2"/>
        <v>0</v>
      </c>
    </row>
    <row r="19" spans="1:28" x14ac:dyDescent="0.15">
      <c r="A19" s="101"/>
      <c r="B19" s="99">
        <f t="shared" si="3"/>
        <v>12</v>
      </c>
      <c r="C19" s="301"/>
      <c r="D19" s="302"/>
      <c r="E19" s="302"/>
      <c r="F19" s="303"/>
      <c r="G19" s="304"/>
      <c r="H19" s="305"/>
      <c r="I19" s="306"/>
      <c r="J19" s="304"/>
      <c r="K19" s="306"/>
      <c r="L19" s="100"/>
      <c r="M19" s="100"/>
      <c r="N19" s="100"/>
      <c r="O19" s="100"/>
      <c r="P19" s="100"/>
      <c r="Q19" s="100"/>
      <c r="R19" s="100"/>
      <c r="S19" s="100"/>
      <c r="T19" s="100"/>
      <c r="U19" s="301"/>
      <c r="V19" s="302"/>
      <c r="W19" s="302"/>
      <c r="X19" s="303"/>
      <c r="Y19" s="98"/>
      <c r="Z19" s="106">
        <f t="shared" si="4"/>
        <v>0</v>
      </c>
      <c r="AA19" s="105">
        <f t="shared" si="1"/>
        <v>0</v>
      </c>
      <c r="AB19" s="105">
        <f t="shared" si="2"/>
        <v>0</v>
      </c>
    </row>
    <row r="20" spans="1:28" x14ac:dyDescent="0.15">
      <c r="A20" s="101"/>
      <c r="B20" s="99">
        <f t="shared" si="3"/>
        <v>13</v>
      </c>
      <c r="C20" s="301"/>
      <c r="D20" s="302"/>
      <c r="E20" s="302"/>
      <c r="F20" s="303"/>
      <c r="G20" s="304"/>
      <c r="H20" s="305"/>
      <c r="I20" s="306"/>
      <c r="J20" s="304"/>
      <c r="K20" s="306"/>
      <c r="L20" s="100"/>
      <c r="M20" s="100"/>
      <c r="N20" s="100"/>
      <c r="O20" s="100"/>
      <c r="P20" s="100"/>
      <c r="Q20" s="100"/>
      <c r="R20" s="100"/>
      <c r="S20" s="100"/>
      <c r="T20" s="100"/>
      <c r="U20" s="301"/>
      <c r="V20" s="302"/>
      <c r="W20" s="302"/>
      <c r="X20" s="303"/>
      <c r="Y20" s="98"/>
      <c r="Z20" s="106">
        <f t="shared" si="4"/>
        <v>0</v>
      </c>
      <c r="AA20" s="105">
        <f t="shared" si="1"/>
        <v>0</v>
      </c>
      <c r="AB20" s="105">
        <f t="shared" si="2"/>
        <v>0</v>
      </c>
    </row>
    <row r="21" spans="1:28" x14ac:dyDescent="0.15">
      <c r="A21" s="101"/>
      <c r="B21" s="99">
        <f t="shared" si="3"/>
        <v>14</v>
      </c>
      <c r="C21" s="181"/>
      <c r="D21" s="182"/>
      <c r="E21" s="182"/>
      <c r="F21" s="183"/>
      <c r="G21" s="304"/>
      <c r="H21" s="305"/>
      <c r="I21" s="306"/>
      <c r="J21" s="304"/>
      <c r="K21" s="306"/>
      <c r="L21" s="100"/>
      <c r="M21" s="180"/>
      <c r="N21" s="104"/>
      <c r="O21" s="100"/>
      <c r="P21" s="100"/>
      <c r="Q21" s="100"/>
      <c r="R21" s="100"/>
      <c r="S21" s="100"/>
      <c r="T21" s="100"/>
      <c r="U21" s="301"/>
      <c r="V21" s="302"/>
      <c r="W21" s="302"/>
      <c r="X21" s="303"/>
      <c r="Y21" s="98"/>
      <c r="Z21" s="106">
        <f t="shared" si="4"/>
        <v>0</v>
      </c>
      <c r="AA21" s="105">
        <f t="shared" si="1"/>
        <v>0</v>
      </c>
      <c r="AB21" s="105">
        <f t="shared" si="2"/>
        <v>0</v>
      </c>
    </row>
    <row r="22" spans="1:28" x14ac:dyDescent="0.15">
      <c r="A22" s="101"/>
      <c r="B22" s="99">
        <f t="shared" si="3"/>
        <v>15</v>
      </c>
      <c r="C22" s="301"/>
      <c r="D22" s="302"/>
      <c r="E22" s="302"/>
      <c r="F22" s="303"/>
      <c r="G22" s="304"/>
      <c r="H22" s="305"/>
      <c r="I22" s="306"/>
      <c r="J22" s="304"/>
      <c r="K22" s="306"/>
      <c r="L22" s="100"/>
      <c r="M22" s="180"/>
      <c r="N22" s="104"/>
      <c r="O22" s="100"/>
      <c r="P22" s="100"/>
      <c r="Q22" s="100"/>
      <c r="R22" s="100"/>
      <c r="S22" s="100"/>
      <c r="T22" s="100"/>
      <c r="U22" s="301"/>
      <c r="V22" s="302"/>
      <c r="W22" s="302"/>
      <c r="X22" s="303"/>
      <c r="Y22" s="98"/>
      <c r="Z22" s="106">
        <f t="shared" si="4"/>
        <v>0</v>
      </c>
      <c r="AA22" s="105">
        <f t="shared" si="1"/>
        <v>0</v>
      </c>
      <c r="AB22" s="105">
        <f t="shared" si="2"/>
        <v>0</v>
      </c>
    </row>
    <row r="23" spans="1:28" x14ac:dyDescent="0.15">
      <c r="A23" s="101"/>
      <c r="B23" s="99">
        <f t="shared" si="3"/>
        <v>16</v>
      </c>
      <c r="C23" s="301"/>
      <c r="D23" s="302"/>
      <c r="E23" s="302"/>
      <c r="F23" s="303"/>
      <c r="G23" s="304"/>
      <c r="H23" s="305"/>
      <c r="I23" s="306"/>
      <c r="J23" s="304"/>
      <c r="K23" s="306"/>
      <c r="L23" s="100"/>
      <c r="M23" s="180"/>
      <c r="N23" s="104"/>
      <c r="O23" s="100"/>
      <c r="P23" s="100"/>
      <c r="Q23" s="100"/>
      <c r="R23" s="100"/>
      <c r="S23" s="100"/>
      <c r="T23" s="100"/>
      <c r="U23" s="301"/>
      <c r="V23" s="302"/>
      <c r="W23" s="302"/>
      <c r="X23" s="303"/>
      <c r="Y23" s="98"/>
      <c r="Z23" s="106">
        <f t="shared" si="4"/>
        <v>0</v>
      </c>
      <c r="AA23" s="105">
        <f t="shared" si="1"/>
        <v>0</v>
      </c>
      <c r="AB23" s="105">
        <f t="shared" si="2"/>
        <v>0</v>
      </c>
    </row>
    <row r="24" spans="1:28" x14ac:dyDescent="0.15">
      <c r="A24" s="101"/>
      <c r="B24" s="99">
        <f t="shared" si="3"/>
        <v>17</v>
      </c>
      <c r="C24" s="301"/>
      <c r="D24" s="302"/>
      <c r="E24" s="302"/>
      <c r="F24" s="303"/>
      <c r="G24" s="304"/>
      <c r="H24" s="305"/>
      <c r="I24" s="306"/>
      <c r="J24" s="304"/>
      <c r="K24" s="306"/>
      <c r="L24" s="100"/>
      <c r="M24" s="100"/>
      <c r="N24" s="100"/>
      <c r="O24" s="100"/>
      <c r="P24" s="100"/>
      <c r="Q24" s="100"/>
      <c r="R24" s="100"/>
      <c r="S24" s="100"/>
      <c r="T24" s="100"/>
      <c r="U24" s="301"/>
      <c r="V24" s="302"/>
      <c r="W24" s="302"/>
      <c r="X24" s="303"/>
      <c r="Y24" s="98"/>
      <c r="Z24" s="106">
        <f t="shared" si="4"/>
        <v>0</v>
      </c>
      <c r="AA24" s="105">
        <f t="shared" si="1"/>
        <v>0</v>
      </c>
      <c r="AB24" s="105">
        <f t="shared" si="2"/>
        <v>0</v>
      </c>
    </row>
    <row r="25" spans="1:28" x14ac:dyDescent="0.15">
      <c r="A25" s="101"/>
      <c r="B25" s="99">
        <f t="shared" si="3"/>
        <v>18</v>
      </c>
      <c r="C25" s="301"/>
      <c r="D25" s="302"/>
      <c r="E25" s="302"/>
      <c r="F25" s="303"/>
      <c r="G25" s="304"/>
      <c r="H25" s="305"/>
      <c r="I25" s="306"/>
      <c r="J25" s="304"/>
      <c r="K25" s="306"/>
      <c r="L25" s="100"/>
      <c r="M25" s="100"/>
      <c r="N25" s="100"/>
      <c r="O25" s="100"/>
      <c r="P25" s="100"/>
      <c r="Q25" s="100"/>
      <c r="R25" s="100"/>
      <c r="S25" s="100"/>
      <c r="T25" s="100"/>
      <c r="U25" s="301"/>
      <c r="V25" s="302"/>
      <c r="W25" s="302"/>
      <c r="X25" s="303"/>
      <c r="Y25" s="98"/>
      <c r="Z25" s="106">
        <f t="shared" si="4"/>
        <v>0</v>
      </c>
      <c r="AA25" s="105">
        <f t="shared" si="1"/>
        <v>0</v>
      </c>
      <c r="AB25" s="105">
        <f t="shared" si="2"/>
        <v>0</v>
      </c>
    </row>
    <row r="26" spans="1:28" x14ac:dyDescent="0.15">
      <c r="A26" s="101"/>
      <c r="B26" s="99">
        <f t="shared" si="3"/>
        <v>19</v>
      </c>
      <c r="C26" s="301"/>
      <c r="D26" s="302"/>
      <c r="E26" s="302"/>
      <c r="F26" s="303"/>
      <c r="G26" s="304"/>
      <c r="H26" s="305"/>
      <c r="I26" s="306"/>
      <c r="J26" s="304"/>
      <c r="K26" s="306"/>
      <c r="L26" s="100"/>
      <c r="M26" s="100"/>
      <c r="N26" s="100"/>
      <c r="O26" s="100"/>
      <c r="P26" s="100"/>
      <c r="Q26" s="100"/>
      <c r="R26" s="100"/>
      <c r="S26" s="100"/>
      <c r="T26" s="100"/>
      <c r="U26" s="301"/>
      <c r="V26" s="302"/>
      <c r="W26" s="302"/>
      <c r="X26" s="303"/>
      <c r="Y26" s="98"/>
      <c r="Z26" s="106">
        <f t="shared" si="4"/>
        <v>0</v>
      </c>
      <c r="AA26" s="105">
        <f t="shared" si="1"/>
        <v>0</v>
      </c>
      <c r="AB26" s="105">
        <f t="shared" si="2"/>
        <v>0</v>
      </c>
    </row>
    <row r="27" spans="1:28" x14ac:dyDescent="0.15">
      <c r="A27" s="101"/>
      <c r="B27" s="99">
        <f t="shared" si="3"/>
        <v>20</v>
      </c>
      <c r="C27" s="301"/>
      <c r="D27" s="302"/>
      <c r="E27" s="302"/>
      <c r="F27" s="303"/>
      <c r="G27" s="304"/>
      <c r="H27" s="305"/>
      <c r="I27" s="306"/>
      <c r="J27" s="304"/>
      <c r="K27" s="306"/>
      <c r="L27" s="100"/>
      <c r="M27" s="100"/>
      <c r="N27" s="100"/>
      <c r="O27" s="100"/>
      <c r="P27" s="100"/>
      <c r="Q27" s="100"/>
      <c r="R27" s="100"/>
      <c r="S27" s="100"/>
      <c r="T27" s="100"/>
      <c r="U27" s="301"/>
      <c r="V27" s="302"/>
      <c r="W27" s="302"/>
      <c r="X27" s="303"/>
      <c r="Y27" s="98"/>
      <c r="Z27" s="106">
        <f t="shared" si="4"/>
        <v>0</v>
      </c>
      <c r="AA27" s="105">
        <f t="shared" si="1"/>
        <v>0</v>
      </c>
      <c r="AB27" s="105">
        <f t="shared" si="2"/>
        <v>0</v>
      </c>
    </row>
    <row r="28" spans="1:28" x14ac:dyDescent="0.15">
      <c r="A28" s="101"/>
      <c r="B28" s="99">
        <f t="shared" si="3"/>
        <v>21</v>
      </c>
      <c r="C28" s="301"/>
      <c r="D28" s="302"/>
      <c r="E28" s="302"/>
      <c r="F28" s="303"/>
      <c r="G28" s="304"/>
      <c r="H28" s="305"/>
      <c r="I28" s="306"/>
      <c r="J28" s="304"/>
      <c r="K28" s="306"/>
      <c r="L28" s="100"/>
      <c r="M28" s="100"/>
      <c r="N28" s="100"/>
      <c r="O28" s="100"/>
      <c r="P28" s="100"/>
      <c r="Q28" s="100"/>
      <c r="R28" s="100"/>
      <c r="S28" s="100"/>
      <c r="T28" s="100"/>
      <c r="U28" s="301"/>
      <c r="V28" s="302"/>
      <c r="W28" s="302"/>
      <c r="X28" s="303"/>
      <c r="Y28" s="98"/>
      <c r="Z28" s="106">
        <f t="shared" si="4"/>
        <v>0</v>
      </c>
      <c r="AA28" s="105">
        <f t="shared" si="1"/>
        <v>0</v>
      </c>
      <c r="AB28" s="105">
        <f t="shared" si="2"/>
        <v>0</v>
      </c>
    </row>
    <row r="29" spans="1:28" x14ac:dyDescent="0.15">
      <c r="A29" s="101"/>
      <c r="B29" s="99">
        <f t="shared" si="3"/>
        <v>22</v>
      </c>
      <c r="C29" s="301"/>
      <c r="D29" s="302"/>
      <c r="E29" s="302"/>
      <c r="F29" s="303"/>
      <c r="G29" s="304"/>
      <c r="H29" s="305"/>
      <c r="I29" s="306"/>
      <c r="J29" s="304"/>
      <c r="K29" s="306"/>
      <c r="L29" s="100"/>
      <c r="M29" s="100"/>
      <c r="N29" s="100"/>
      <c r="O29" s="100"/>
      <c r="P29" s="100"/>
      <c r="Q29" s="100"/>
      <c r="R29" s="100"/>
      <c r="S29" s="100"/>
      <c r="T29" s="100"/>
      <c r="U29" s="301"/>
      <c r="V29" s="302"/>
      <c r="W29" s="302"/>
      <c r="X29" s="303"/>
      <c r="Y29" s="98"/>
      <c r="Z29" s="106">
        <f t="shared" si="4"/>
        <v>0</v>
      </c>
      <c r="AA29" s="105">
        <f t="shared" si="1"/>
        <v>0</v>
      </c>
      <c r="AB29" s="105">
        <f t="shared" si="2"/>
        <v>0</v>
      </c>
    </row>
    <row r="30" spans="1:28" x14ac:dyDescent="0.15">
      <c r="A30" s="101"/>
      <c r="B30" s="99">
        <f t="shared" si="3"/>
        <v>23</v>
      </c>
      <c r="C30" s="301"/>
      <c r="D30" s="302"/>
      <c r="E30" s="302"/>
      <c r="F30" s="303"/>
      <c r="G30" s="304"/>
      <c r="H30" s="305"/>
      <c r="I30" s="306"/>
      <c r="J30" s="304"/>
      <c r="K30" s="306"/>
      <c r="L30" s="100"/>
      <c r="M30" s="100"/>
      <c r="N30" s="100"/>
      <c r="O30" s="100"/>
      <c r="P30" s="100"/>
      <c r="Q30" s="100"/>
      <c r="R30" s="100"/>
      <c r="S30" s="100"/>
      <c r="T30" s="100"/>
      <c r="U30" s="301"/>
      <c r="V30" s="302"/>
      <c r="W30" s="302"/>
      <c r="X30" s="303"/>
      <c r="Y30" s="98"/>
      <c r="Z30" s="106">
        <f t="shared" si="4"/>
        <v>0</v>
      </c>
      <c r="AA30" s="105">
        <f t="shared" si="1"/>
        <v>0</v>
      </c>
      <c r="AB30" s="105">
        <f t="shared" si="2"/>
        <v>0</v>
      </c>
    </row>
    <row r="31" spans="1:28" x14ac:dyDescent="0.15">
      <c r="A31" s="101"/>
      <c r="B31" s="99">
        <f t="shared" si="3"/>
        <v>24</v>
      </c>
      <c r="C31" s="301"/>
      <c r="D31" s="302"/>
      <c r="E31" s="302"/>
      <c r="F31" s="303"/>
      <c r="G31" s="304"/>
      <c r="H31" s="305"/>
      <c r="I31" s="306"/>
      <c r="J31" s="304"/>
      <c r="K31" s="306"/>
      <c r="L31" s="100"/>
      <c r="M31" s="100"/>
      <c r="N31" s="100"/>
      <c r="O31" s="100"/>
      <c r="P31" s="100"/>
      <c r="Q31" s="100"/>
      <c r="R31" s="100"/>
      <c r="S31" s="100"/>
      <c r="T31" s="100"/>
      <c r="U31" s="301"/>
      <c r="V31" s="302"/>
      <c r="W31" s="302"/>
      <c r="X31" s="303"/>
      <c r="Y31" s="98"/>
      <c r="Z31" s="106">
        <f t="shared" si="4"/>
        <v>0</v>
      </c>
      <c r="AA31" s="105">
        <f t="shared" si="1"/>
        <v>0</v>
      </c>
      <c r="AB31" s="105">
        <f t="shared" si="2"/>
        <v>0</v>
      </c>
    </row>
    <row r="32" spans="1:28" x14ac:dyDescent="0.15">
      <c r="A32" s="101"/>
      <c r="B32" s="99">
        <f t="shared" si="3"/>
        <v>25</v>
      </c>
      <c r="C32" s="301"/>
      <c r="D32" s="302"/>
      <c r="E32" s="302"/>
      <c r="F32" s="303"/>
      <c r="G32" s="304"/>
      <c r="H32" s="305"/>
      <c r="I32" s="306"/>
      <c r="J32" s="304"/>
      <c r="K32" s="306"/>
      <c r="L32" s="100"/>
      <c r="M32" s="100"/>
      <c r="N32" s="100"/>
      <c r="O32" s="100"/>
      <c r="P32" s="100"/>
      <c r="Q32" s="100"/>
      <c r="R32" s="100"/>
      <c r="S32" s="100"/>
      <c r="T32" s="100"/>
      <c r="U32" s="301"/>
      <c r="V32" s="302"/>
      <c r="W32" s="302"/>
      <c r="X32" s="303"/>
      <c r="Y32" s="98"/>
      <c r="Z32" s="106">
        <f t="shared" si="4"/>
        <v>0</v>
      </c>
      <c r="AA32" s="105">
        <f t="shared" si="1"/>
        <v>0</v>
      </c>
      <c r="AB32" s="105">
        <f t="shared" si="2"/>
        <v>0</v>
      </c>
    </row>
    <row r="33" spans="1:28" x14ac:dyDescent="0.15">
      <c r="A33" s="101"/>
      <c r="B33" s="99">
        <f t="shared" si="3"/>
        <v>26</v>
      </c>
      <c r="C33" s="301"/>
      <c r="D33" s="302"/>
      <c r="E33" s="302"/>
      <c r="F33" s="303"/>
      <c r="G33" s="304"/>
      <c r="H33" s="305"/>
      <c r="I33" s="306"/>
      <c r="J33" s="304"/>
      <c r="K33" s="306"/>
      <c r="L33" s="100"/>
      <c r="M33" s="100"/>
      <c r="N33" s="100"/>
      <c r="O33" s="100"/>
      <c r="P33" s="100"/>
      <c r="Q33" s="100"/>
      <c r="R33" s="100"/>
      <c r="S33" s="100"/>
      <c r="T33" s="100"/>
      <c r="U33" s="301"/>
      <c r="V33" s="302"/>
      <c r="W33" s="302"/>
      <c r="X33" s="303"/>
      <c r="Y33" s="98"/>
      <c r="Z33" s="106">
        <f t="shared" si="4"/>
        <v>0</v>
      </c>
      <c r="AA33" s="105">
        <f t="shared" si="1"/>
        <v>0</v>
      </c>
      <c r="AB33" s="105">
        <f t="shared" si="2"/>
        <v>0</v>
      </c>
    </row>
    <row r="34" spans="1:28" x14ac:dyDescent="0.15">
      <c r="A34" s="101"/>
      <c r="B34" s="99">
        <f t="shared" si="3"/>
        <v>27</v>
      </c>
      <c r="C34" s="301"/>
      <c r="D34" s="302"/>
      <c r="E34" s="302"/>
      <c r="F34" s="303"/>
      <c r="G34" s="304"/>
      <c r="H34" s="305"/>
      <c r="I34" s="306"/>
      <c r="J34" s="304"/>
      <c r="K34" s="306"/>
      <c r="L34" s="100"/>
      <c r="M34" s="100"/>
      <c r="N34" s="100"/>
      <c r="O34" s="100"/>
      <c r="P34" s="100"/>
      <c r="Q34" s="100"/>
      <c r="R34" s="100"/>
      <c r="S34" s="100"/>
      <c r="T34" s="100"/>
      <c r="U34" s="301"/>
      <c r="V34" s="302"/>
      <c r="W34" s="302"/>
      <c r="X34" s="303"/>
      <c r="Y34" s="98"/>
      <c r="Z34" s="106">
        <f t="shared" si="4"/>
        <v>0</v>
      </c>
      <c r="AA34" s="105">
        <f t="shared" si="1"/>
        <v>0</v>
      </c>
      <c r="AB34" s="105">
        <f t="shared" si="2"/>
        <v>0</v>
      </c>
    </row>
    <row r="35" spans="1:28" x14ac:dyDescent="0.15">
      <c r="A35" s="101"/>
      <c r="B35" s="99">
        <f t="shared" si="3"/>
        <v>28</v>
      </c>
      <c r="C35" s="301"/>
      <c r="D35" s="302"/>
      <c r="E35" s="302"/>
      <c r="F35" s="303"/>
      <c r="G35" s="304"/>
      <c r="H35" s="305"/>
      <c r="I35" s="306"/>
      <c r="J35" s="304"/>
      <c r="K35" s="306"/>
      <c r="L35" s="100"/>
      <c r="M35" s="100"/>
      <c r="N35" s="100"/>
      <c r="O35" s="100"/>
      <c r="P35" s="100"/>
      <c r="Q35" s="100"/>
      <c r="R35" s="100"/>
      <c r="S35" s="100"/>
      <c r="T35" s="100"/>
      <c r="U35" s="301"/>
      <c r="V35" s="302"/>
      <c r="W35" s="302"/>
      <c r="X35" s="303"/>
      <c r="Y35" s="98"/>
      <c r="Z35" s="106">
        <f t="shared" si="4"/>
        <v>0</v>
      </c>
      <c r="AA35" s="105">
        <f t="shared" si="1"/>
        <v>0</v>
      </c>
      <c r="AB35" s="105">
        <f t="shared" si="2"/>
        <v>0</v>
      </c>
    </row>
    <row r="36" spans="1:28" x14ac:dyDescent="0.15">
      <c r="A36" s="101"/>
      <c r="B36" s="99">
        <f t="shared" si="3"/>
        <v>29</v>
      </c>
      <c r="C36" s="301"/>
      <c r="D36" s="302"/>
      <c r="E36" s="302"/>
      <c r="F36" s="303"/>
      <c r="G36" s="304"/>
      <c r="H36" s="305"/>
      <c r="I36" s="306"/>
      <c r="J36" s="304"/>
      <c r="K36" s="306"/>
      <c r="L36" s="100"/>
      <c r="M36" s="100"/>
      <c r="N36" s="100"/>
      <c r="O36" s="100"/>
      <c r="P36" s="100"/>
      <c r="Q36" s="100"/>
      <c r="R36" s="100"/>
      <c r="S36" s="100"/>
      <c r="T36" s="100"/>
      <c r="U36" s="301"/>
      <c r="V36" s="302"/>
      <c r="W36" s="302"/>
      <c r="X36" s="303"/>
      <c r="Y36" s="98"/>
      <c r="Z36" s="106">
        <f t="shared" si="4"/>
        <v>0</v>
      </c>
      <c r="AA36" s="105">
        <f t="shared" si="1"/>
        <v>0</v>
      </c>
      <c r="AB36" s="105">
        <f t="shared" si="2"/>
        <v>0</v>
      </c>
    </row>
    <row r="37" spans="1:28" x14ac:dyDescent="0.15">
      <c r="A37" s="101"/>
      <c r="B37" s="99">
        <f t="shared" si="3"/>
        <v>30</v>
      </c>
      <c r="C37" s="301"/>
      <c r="D37" s="302"/>
      <c r="E37" s="302"/>
      <c r="F37" s="303"/>
      <c r="G37" s="304"/>
      <c r="H37" s="305"/>
      <c r="I37" s="306"/>
      <c r="J37" s="304"/>
      <c r="K37" s="306"/>
      <c r="L37" s="100"/>
      <c r="M37" s="100"/>
      <c r="N37" s="100"/>
      <c r="O37" s="100"/>
      <c r="P37" s="100"/>
      <c r="Q37" s="100"/>
      <c r="R37" s="100"/>
      <c r="S37" s="100"/>
      <c r="T37" s="100"/>
      <c r="U37" s="301"/>
      <c r="V37" s="302"/>
      <c r="W37" s="302"/>
      <c r="X37" s="303"/>
      <c r="Y37" s="98"/>
      <c r="Z37" s="106">
        <f t="shared" si="4"/>
        <v>0</v>
      </c>
      <c r="AA37" s="105">
        <f t="shared" si="1"/>
        <v>0</v>
      </c>
      <c r="AB37" s="105">
        <f t="shared" si="2"/>
        <v>0</v>
      </c>
    </row>
    <row r="38" spans="1:28" x14ac:dyDescent="0.15">
      <c r="A38" s="101"/>
      <c r="B38" s="298" t="s">
        <v>122</v>
      </c>
      <c r="C38" s="299"/>
      <c r="D38" s="299"/>
      <c r="E38" s="299"/>
      <c r="F38" s="299"/>
      <c r="G38" s="299"/>
      <c r="H38" s="299"/>
      <c r="I38" s="299"/>
      <c r="J38" s="299"/>
      <c r="K38" s="299"/>
      <c r="L38" s="299"/>
      <c r="M38" s="299"/>
      <c r="N38" s="299"/>
      <c r="O38" s="299"/>
      <c r="P38" s="299"/>
      <c r="Q38" s="299"/>
      <c r="R38" s="299"/>
      <c r="S38" s="299"/>
      <c r="T38" s="299"/>
      <c r="U38" s="299"/>
      <c r="V38" s="299"/>
      <c r="W38" s="299"/>
      <c r="X38" s="300"/>
      <c r="Y38" s="98"/>
      <c r="Z38" s="92"/>
    </row>
    <row r="39" spans="1:28" x14ac:dyDescent="0.15">
      <c r="A39" s="101"/>
      <c r="B39" s="101" t="s">
        <v>247</v>
      </c>
      <c r="C39" s="92"/>
      <c r="D39" s="92"/>
      <c r="E39" s="92"/>
      <c r="F39" s="92"/>
      <c r="G39" s="92"/>
      <c r="H39" s="92"/>
      <c r="I39" s="92"/>
      <c r="J39" s="92"/>
      <c r="K39" s="92"/>
      <c r="L39" s="92"/>
      <c r="M39" s="92"/>
      <c r="N39" s="92"/>
      <c r="O39" s="92"/>
      <c r="P39" s="92"/>
      <c r="Q39" s="92"/>
      <c r="R39" s="92"/>
      <c r="S39" s="92"/>
      <c r="T39" s="92"/>
      <c r="U39" s="92"/>
      <c r="V39" s="92"/>
      <c r="W39" s="92"/>
      <c r="X39" s="98"/>
      <c r="Y39" s="98"/>
      <c r="Z39" s="92"/>
    </row>
    <row r="40" spans="1:28" x14ac:dyDescent="0.15">
      <c r="A40" s="101"/>
      <c r="B40" s="101"/>
      <c r="C40" s="92"/>
      <c r="D40" s="92"/>
      <c r="E40" s="92"/>
      <c r="F40" s="92"/>
      <c r="G40" s="92"/>
      <c r="H40" s="92"/>
      <c r="I40" s="92"/>
      <c r="J40" s="92"/>
      <c r="K40" s="92"/>
      <c r="L40" s="92"/>
      <c r="M40" s="92"/>
      <c r="N40" s="92"/>
      <c r="O40" s="92"/>
      <c r="P40" s="92"/>
      <c r="Q40" s="92"/>
      <c r="R40" s="92"/>
      <c r="S40" s="92"/>
      <c r="T40" s="92"/>
      <c r="U40" s="92"/>
      <c r="V40" s="92"/>
      <c r="W40" s="92"/>
      <c r="X40" s="98"/>
      <c r="Y40" s="98"/>
      <c r="Z40" s="92"/>
    </row>
    <row r="41" spans="1:28" x14ac:dyDescent="0.15">
      <c r="A41" s="101"/>
      <c r="B41" s="101"/>
      <c r="C41" s="92"/>
      <c r="D41" s="92"/>
      <c r="E41" s="92"/>
      <c r="F41" s="92"/>
      <c r="G41" s="92"/>
      <c r="H41" s="92"/>
      <c r="I41" s="92"/>
      <c r="J41" s="92"/>
      <c r="K41" s="92"/>
      <c r="L41" s="92"/>
      <c r="M41" s="92"/>
      <c r="N41" s="92"/>
      <c r="O41" s="92"/>
      <c r="P41" s="92"/>
      <c r="Q41" s="92"/>
      <c r="R41" s="92"/>
      <c r="S41" s="92"/>
      <c r="T41" s="92"/>
      <c r="U41" s="92"/>
      <c r="V41" s="92"/>
      <c r="W41" s="92"/>
      <c r="X41" s="98"/>
      <c r="Y41" s="98"/>
      <c r="Z41" s="92"/>
    </row>
    <row r="42" spans="1:28" x14ac:dyDescent="0.15">
      <c r="A42" s="101"/>
      <c r="B42" s="102"/>
      <c r="C42" s="93"/>
      <c r="D42" s="93"/>
      <c r="E42" s="93"/>
      <c r="F42" s="93"/>
      <c r="G42" s="93"/>
      <c r="H42" s="93"/>
      <c r="I42" s="93"/>
      <c r="J42" s="93"/>
      <c r="K42" s="93"/>
      <c r="L42" s="93"/>
      <c r="M42" s="93"/>
      <c r="N42" s="93"/>
      <c r="O42" s="93"/>
      <c r="P42" s="93"/>
      <c r="Q42" s="93"/>
      <c r="R42" s="93"/>
      <c r="S42" s="93"/>
      <c r="T42" s="93"/>
      <c r="U42" s="93"/>
      <c r="V42" s="93"/>
      <c r="W42" s="93"/>
      <c r="X42" s="103"/>
      <c r="Y42" s="98"/>
      <c r="Z42" s="92"/>
    </row>
    <row r="43" spans="1:28" x14ac:dyDescent="0.15">
      <c r="A43" s="102"/>
      <c r="B43" s="93"/>
      <c r="C43" s="93"/>
      <c r="D43" s="93"/>
      <c r="E43" s="93"/>
      <c r="F43" s="93"/>
      <c r="G43" s="93"/>
      <c r="H43" s="93"/>
      <c r="I43" s="93"/>
      <c r="J43" s="93"/>
      <c r="K43" s="93"/>
      <c r="L43" s="93"/>
      <c r="M43" s="93"/>
      <c r="N43" s="93"/>
      <c r="O43" s="93"/>
      <c r="P43" s="93"/>
      <c r="Q43" s="93"/>
      <c r="R43" s="93"/>
      <c r="S43" s="93"/>
      <c r="T43" s="93"/>
      <c r="U43" s="93"/>
      <c r="V43" s="93"/>
      <c r="W43" s="93"/>
      <c r="X43" s="93"/>
      <c r="Y43" s="103"/>
      <c r="Z43" s="92"/>
    </row>
  </sheetData>
  <mergeCells count="136">
    <mergeCell ref="W2:Y3"/>
    <mergeCell ref="A3:B3"/>
    <mergeCell ref="G3:I3"/>
    <mergeCell ref="C7:F7"/>
    <mergeCell ref="G7:I7"/>
    <mergeCell ref="J7:K7"/>
    <mergeCell ref="U7:X7"/>
    <mergeCell ref="A1:F2"/>
    <mergeCell ref="G1:I1"/>
    <mergeCell ref="P1:Q1"/>
    <mergeCell ref="R1:T1"/>
    <mergeCell ref="U1:V1"/>
    <mergeCell ref="W1:Y1"/>
    <mergeCell ref="G2:I2"/>
    <mergeCell ref="P2:Q3"/>
    <mergeCell ref="R2:T3"/>
    <mergeCell ref="U2:V3"/>
    <mergeCell ref="C10:F10"/>
    <mergeCell ref="G10:I10"/>
    <mergeCell ref="J10:K10"/>
    <mergeCell ref="U10:X10"/>
    <mergeCell ref="C11:F11"/>
    <mergeCell ref="G11:I11"/>
    <mergeCell ref="J11:K11"/>
    <mergeCell ref="U11:X11"/>
    <mergeCell ref="C8:F8"/>
    <mergeCell ref="G8:I8"/>
    <mergeCell ref="J8:K8"/>
    <mergeCell ref="U8:X8"/>
    <mergeCell ref="G9:I9"/>
    <mergeCell ref="J9:K9"/>
    <mergeCell ref="U9:X9"/>
    <mergeCell ref="C14:F14"/>
    <mergeCell ref="G14:I14"/>
    <mergeCell ref="J14:K14"/>
    <mergeCell ref="U14:X14"/>
    <mergeCell ref="C15:F15"/>
    <mergeCell ref="G15:I15"/>
    <mergeCell ref="J15:K15"/>
    <mergeCell ref="U15:X15"/>
    <mergeCell ref="C12:F12"/>
    <mergeCell ref="G12:I12"/>
    <mergeCell ref="J12:K12"/>
    <mergeCell ref="U12:X12"/>
    <mergeCell ref="C13:F13"/>
    <mergeCell ref="G13:I13"/>
    <mergeCell ref="J13:K13"/>
    <mergeCell ref="U13:X13"/>
    <mergeCell ref="C18:F18"/>
    <mergeCell ref="G18:I18"/>
    <mergeCell ref="J18:K18"/>
    <mergeCell ref="U18:X18"/>
    <mergeCell ref="C19:F19"/>
    <mergeCell ref="G19:I19"/>
    <mergeCell ref="J19:K19"/>
    <mergeCell ref="U19:X19"/>
    <mergeCell ref="C16:F16"/>
    <mergeCell ref="G16:I16"/>
    <mergeCell ref="J16:K16"/>
    <mergeCell ref="U16:X16"/>
    <mergeCell ref="C17:F17"/>
    <mergeCell ref="G17:I17"/>
    <mergeCell ref="J17:K17"/>
    <mergeCell ref="U17:X17"/>
    <mergeCell ref="C22:F22"/>
    <mergeCell ref="G22:I22"/>
    <mergeCell ref="J22:K22"/>
    <mergeCell ref="U22:X22"/>
    <mergeCell ref="C23:F23"/>
    <mergeCell ref="G23:I23"/>
    <mergeCell ref="J23:K23"/>
    <mergeCell ref="U23:X23"/>
    <mergeCell ref="C20:F20"/>
    <mergeCell ref="G20:I20"/>
    <mergeCell ref="J20:K20"/>
    <mergeCell ref="U20:X20"/>
    <mergeCell ref="G21:I21"/>
    <mergeCell ref="J21:K21"/>
    <mergeCell ref="U21:X21"/>
    <mergeCell ref="C26:F26"/>
    <mergeCell ref="G26:I26"/>
    <mergeCell ref="J26:K26"/>
    <mergeCell ref="U26:X26"/>
    <mergeCell ref="C27:F27"/>
    <mergeCell ref="G27:I27"/>
    <mergeCell ref="J27:K27"/>
    <mergeCell ref="U27:X27"/>
    <mergeCell ref="C24:F24"/>
    <mergeCell ref="G24:I24"/>
    <mergeCell ref="J24:K24"/>
    <mergeCell ref="U24:X24"/>
    <mergeCell ref="C25:F25"/>
    <mergeCell ref="G25:I25"/>
    <mergeCell ref="J25:K25"/>
    <mergeCell ref="U25:X25"/>
    <mergeCell ref="C30:F30"/>
    <mergeCell ref="G30:I30"/>
    <mergeCell ref="J30:K30"/>
    <mergeCell ref="U30:X30"/>
    <mergeCell ref="C31:F31"/>
    <mergeCell ref="G31:I31"/>
    <mergeCell ref="J31:K31"/>
    <mergeCell ref="U31:X31"/>
    <mergeCell ref="C28:F28"/>
    <mergeCell ref="G28:I28"/>
    <mergeCell ref="J28:K28"/>
    <mergeCell ref="U28:X28"/>
    <mergeCell ref="C29:F29"/>
    <mergeCell ref="G29:I29"/>
    <mergeCell ref="J29:K29"/>
    <mergeCell ref="U29:X29"/>
    <mergeCell ref="C34:F34"/>
    <mergeCell ref="G34:I34"/>
    <mergeCell ref="J34:K34"/>
    <mergeCell ref="U34:X34"/>
    <mergeCell ref="C35:F35"/>
    <mergeCell ref="G35:I35"/>
    <mergeCell ref="J35:K35"/>
    <mergeCell ref="U35:X35"/>
    <mergeCell ref="C32:F32"/>
    <mergeCell ref="G32:I32"/>
    <mergeCell ref="J32:K32"/>
    <mergeCell ref="U32:X32"/>
    <mergeCell ref="C33:F33"/>
    <mergeCell ref="G33:I33"/>
    <mergeCell ref="J33:K33"/>
    <mergeCell ref="U33:X33"/>
    <mergeCell ref="B38:X38"/>
    <mergeCell ref="C36:F36"/>
    <mergeCell ref="G36:I36"/>
    <mergeCell ref="J36:K36"/>
    <mergeCell ref="U36:X36"/>
    <mergeCell ref="C37:F37"/>
    <mergeCell ref="G37:I37"/>
    <mergeCell ref="J37:K37"/>
    <mergeCell ref="U37:X37"/>
  </mergeCells>
  <phoneticPr fontId="1"/>
  <conditionalFormatting sqref="J15:K20 J24:K37">
    <cfRule type="expression" dxfId="581" priority="58">
      <formula>ISERROR(AB15)</formula>
    </cfRule>
    <cfRule type="expression" dxfId="580" priority="59">
      <formula>ISBLANK(AB15)</formula>
    </cfRule>
    <cfRule type="expression" dxfId="579" priority="60">
      <formula>AND(J15&lt;&gt;"",AB15&lt;=0)</formula>
    </cfRule>
  </conditionalFormatting>
  <conditionalFormatting sqref="J8:K8">
    <cfRule type="expression" dxfId="578" priority="55">
      <formula>ISERROR(AB8)</formula>
    </cfRule>
    <cfRule type="expression" dxfId="577" priority="56">
      <formula>ISBLANK(AB8)</formula>
    </cfRule>
    <cfRule type="expression" dxfId="576" priority="57">
      <formula>AND(J8&lt;&gt;"",AB8&lt;=0)</formula>
    </cfRule>
  </conditionalFormatting>
  <conditionalFormatting sqref="J21:K21">
    <cfRule type="expression" dxfId="575" priority="40">
      <formula>ISERROR(AB21)</formula>
    </cfRule>
    <cfRule type="expression" dxfId="574" priority="41">
      <formula>ISBLANK(AB21)</formula>
    </cfRule>
    <cfRule type="expression" dxfId="573" priority="42">
      <formula>AND(J21&lt;&gt;"",AB21&lt;=0)</formula>
    </cfRule>
  </conditionalFormatting>
  <conditionalFormatting sqref="J22:K22">
    <cfRule type="expression" dxfId="572" priority="37">
      <formula>ISERROR(AB22)</formula>
    </cfRule>
    <cfRule type="expression" dxfId="571" priority="38">
      <formula>ISBLANK(AB22)</formula>
    </cfRule>
    <cfRule type="expression" dxfId="570" priority="39">
      <formula>AND(J22&lt;&gt;"",AB22&lt;=0)</formula>
    </cfRule>
  </conditionalFormatting>
  <conditionalFormatting sqref="J23:K23">
    <cfRule type="expression" dxfId="569" priority="34">
      <formula>ISERROR(AB23)</formula>
    </cfRule>
    <cfRule type="expression" dxfId="568" priority="35">
      <formula>ISBLANK(AB23)</formula>
    </cfRule>
    <cfRule type="expression" dxfId="567" priority="36">
      <formula>AND(J23&lt;&gt;"",AB23&lt;=0)</formula>
    </cfRule>
  </conditionalFormatting>
  <conditionalFormatting sqref="J14:K14">
    <cfRule type="expression" dxfId="566" priority="28">
      <formula>ISERROR(AB14)</formula>
    </cfRule>
    <cfRule type="expression" dxfId="565" priority="29">
      <formula>ISBLANK(AB14)</formula>
    </cfRule>
    <cfRule type="expression" dxfId="564" priority="30">
      <formula>AND(J14&lt;&gt;"",AB14&lt;=0)</formula>
    </cfRule>
  </conditionalFormatting>
  <conditionalFormatting sqref="J9:K9">
    <cfRule type="expression" dxfId="563" priority="25">
      <formula>ISERROR(AB9)</formula>
    </cfRule>
    <cfRule type="expression" dxfId="562" priority="26">
      <formula>ISBLANK(AB9)</formula>
    </cfRule>
    <cfRule type="expression" dxfId="561" priority="27">
      <formula>AND(J9&lt;&gt;"",AB9&lt;=0)</formula>
    </cfRule>
  </conditionalFormatting>
  <conditionalFormatting sqref="J10:K10">
    <cfRule type="expression" dxfId="560" priority="22">
      <formula>ISERROR(AB10)</formula>
    </cfRule>
    <cfRule type="expression" dxfId="559" priority="23">
      <formula>ISBLANK(AB10)</formula>
    </cfRule>
    <cfRule type="expression" dxfId="558" priority="24">
      <formula>AND(J10&lt;&gt;"",AB10&lt;=0)</formula>
    </cfRule>
  </conditionalFormatting>
  <conditionalFormatting sqref="J11:K11">
    <cfRule type="expression" dxfId="8" priority="7">
      <formula>ISERROR(AB11)</formula>
    </cfRule>
    <cfRule type="expression" dxfId="7" priority="8">
      <formula>ISBLANK(AB11)</formula>
    </cfRule>
    <cfRule type="expression" dxfId="6" priority="9">
      <formula>AND(J11&lt;&gt;"",AB11&lt;=0)</formula>
    </cfRule>
  </conditionalFormatting>
  <conditionalFormatting sqref="J12:K12">
    <cfRule type="expression" dxfId="5" priority="4">
      <formula>ISERROR(AB12)</formula>
    </cfRule>
    <cfRule type="expression" dxfId="4" priority="5">
      <formula>ISBLANK(AB12)</formula>
    </cfRule>
    <cfRule type="expression" dxfId="3" priority="6">
      <formula>AND(J12&lt;&gt;"",AB12&lt;=0)</formula>
    </cfRule>
  </conditionalFormatting>
  <conditionalFormatting sqref="J13:K13">
    <cfRule type="expression" dxfId="2" priority="1">
      <formula>ISERROR(AB13)</formula>
    </cfRule>
    <cfRule type="expression" dxfId="1" priority="2">
      <formula>ISBLANK(AB13)</formula>
    </cfRule>
    <cfRule type="expression" dxfId="0" priority="3">
      <formula>AND(J13&lt;&gt;"",AB13&lt;=0)</formula>
    </cfRule>
  </conditionalFormatting>
  <printOptions horizontalCentered="1"/>
  <pageMargins left="0.23622047244094491" right="0.23622047244094491" top="0.39370078740157483" bottom="0.39370078740157483" header="0" footer="0"/>
  <pageSetup paperSize="9" fitToHeight="0" orientation="landscape" r:id="rId1"/>
  <headerFooter alignWithMargins="0">
    <oddFooter>&amp;L&amp;F&amp;R&amp;P / &amp;N</oddFooter>
  </headerFooter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B09A8A-F7FF-48ED-BCD4-D719A97560BC}">
  <sheetPr codeName="Sheet16"/>
  <dimension ref="A1:AE43"/>
  <sheetViews>
    <sheetView showGridLines="0" view="pageBreakPreview" zoomScaleNormal="85" zoomScaleSheetLayoutView="100" workbookViewId="0">
      <selection activeCell="L17" sqref="L17"/>
    </sheetView>
  </sheetViews>
  <sheetFormatPr defaultColWidth="5.625" defaultRowHeight="13.5" x14ac:dyDescent="0.15"/>
  <cols>
    <col min="1" max="16" width="5.625" style="12" customWidth="1"/>
    <col min="17" max="25" width="5.625" style="12"/>
    <col min="26" max="26" width="12.75" style="96" bestFit="1" customWidth="1"/>
    <col min="27" max="27" width="12.75" style="12" bestFit="1" customWidth="1"/>
    <col min="28" max="28" width="18.375" style="12" bestFit="1" customWidth="1"/>
    <col min="29" max="238" width="5.625" style="12"/>
    <col min="239" max="254" width="5.625" style="12" customWidth="1"/>
    <col min="255" max="494" width="5.625" style="12"/>
    <col min="495" max="510" width="5.625" style="12" customWidth="1"/>
    <col min="511" max="750" width="5.625" style="12"/>
    <col min="751" max="766" width="5.625" style="12" customWidth="1"/>
    <col min="767" max="1006" width="5.625" style="12"/>
    <col min="1007" max="1022" width="5.625" style="12" customWidth="1"/>
    <col min="1023" max="1262" width="5.625" style="12"/>
    <col min="1263" max="1278" width="5.625" style="12" customWidth="1"/>
    <col min="1279" max="1518" width="5.625" style="12"/>
    <col min="1519" max="1534" width="5.625" style="12" customWidth="1"/>
    <col min="1535" max="1774" width="5.625" style="12"/>
    <col min="1775" max="1790" width="5.625" style="12" customWidth="1"/>
    <col min="1791" max="2030" width="5.625" style="12"/>
    <col min="2031" max="2046" width="5.625" style="12" customWidth="1"/>
    <col min="2047" max="2286" width="5.625" style="12"/>
    <col min="2287" max="2302" width="5.625" style="12" customWidth="1"/>
    <col min="2303" max="2542" width="5.625" style="12"/>
    <col min="2543" max="2558" width="5.625" style="12" customWidth="1"/>
    <col min="2559" max="2798" width="5.625" style="12"/>
    <col min="2799" max="2814" width="5.625" style="12" customWidth="1"/>
    <col min="2815" max="3054" width="5.625" style="12"/>
    <col min="3055" max="3070" width="5.625" style="12" customWidth="1"/>
    <col min="3071" max="3310" width="5.625" style="12"/>
    <col min="3311" max="3326" width="5.625" style="12" customWidth="1"/>
    <col min="3327" max="3566" width="5.625" style="12"/>
    <col min="3567" max="3582" width="5.625" style="12" customWidth="1"/>
    <col min="3583" max="3822" width="5.625" style="12"/>
    <col min="3823" max="3838" width="5.625" style="12" customWidth="1"/>
    <col min="3839" max="4078" width="5.625" style="12"/>
    <col min="4079" max="4094" width="5.625" style="12" customWidth="1"/>
    <col min="4095" max="4334" width="5.625" style="12"/>
    <col min="4335" max="4350" width="5.625" style="12" customWidth="1"/>
    <col min="4351" max="4590" width="5.625" style="12"/>
    <col min="4591" max="4606" width="5.625" style="12" customWidth="1"/>
    <col min="4607" max="4846" width="5.625" style="12"/>
    <col min="4847" max="4862" width="5.625" style="12" customWidth="1"/>
    <col min="4863" max="5102" width="5.625" style="12"/>
    <col min="5103" max="5118" width="5.625" style="12" customWidth="1"/>
    <col min="5119" max="5358" width="5.625" style="12"/>
    <col min="5359" max="5374" width="5.625" style="12" customWidth="1"/>
    <col min="5375" max="5614" width="5.625" style="12"/>
    <col min="5615" max="5630" width="5.625" style="12" customWidth="1"/>
    <col min="5631" max="5870" width="5.625" style="12"/>
    <col min="5871" max="5886" width="5.625" style="12" customWidth="1"/>
    <col min="5887" max="6126" width="5.625" style="12"/>
    <col min="6127" max="6142" width="5.625" style="12" customWidth="1"/>
    <col min="6143" max="6382" width="5.625" style="12"/>
    <col min="6383" max="6398" width="5.625" style="12" customWidth="1"/>
    <col min="6399" max="6638" width="5.625" style="12"/>
    <col min="6639" max="6654" width="5.625" style="12" customWidth="1"/>
    <col min="6655" max="6894" width="5.625" style="12"/>
    <col min="6895" max="6910" width="5.625" style="12" customWidth="1"/>
    <col min="6911" max="7150" width="5.625" style="12"/>
    <col min="7151" max="7166" width="5.625" style="12" customWidth="1"/>
    <col min="7167" max="7406" width="5.625" style="12"/>
    <col min="7407" max="7422" width="5.625" style="12" customWidth="1"/>
    <col min="7423" max="7662" width="5.625" style="12"/>
    <col min="7663" max="7678" width="5.625" style="12" customWidth="1"/>
    <col min="7679" max="7918" width="5.625" style="12"/>
    <col min="7919" max="7934" width="5.625" style="12" customWidth="1"/>
    <col min="7935" max="8174" width="5.625" style="12"/>
    <col min="8175" max="8190" width="5.625" style="12" customWidth="1"/>
    <col min="8191" max="8430" width="5.625" style="12"/>
    <col min="8431" max="8446" width="5.625" style="12" customWidth="1"/>
    <col min="8447" max="8686" width="5.625" style="12"/>
    <col min="8687" max="8702" width="5.625" style="12" customWidth="1"/>
    <col min="8703" max="8942" width="5.625" style="12"/>
    <col min="8943" max="8958" width="5.625" style="12" customWidth="1"/>
    <col min="8959" max="9198" width="5.625" style="12"/>
    <col min="9199" max="9214" width="5.625" style="12" customWidth="1"/>
    <col min="9215" max="9454" width="5.625" style="12"/>
    <col min="9455" max="9470" width="5.625" style="12" customWidth="1"/>
    <col min="9471" max="9710" width="5.625" style="12"/>
    <col min="9711" max="9726" width="5.625" style="12" customWidth="1"/>
    <col min="9727" max="9966" width="5.625" style="12"/>
    <col min="9967" max="9982" width="5.625" style="12" customWidth="1"/>
    <col min="9983" max="10222" width="5.625" style="12"/>
    <col min="10223" max="10238" width="5.625" style="12" customWidth="1"/>
    <col min="10239" max="10478" width="5.625" style="12"/>
    <col min="10479" max="10494" width="5.625" style="12" customWidth="1"/>
    <col min="10495" max="10734" width="5.625" style="12"/>
    <col min="10735" max="10750" width="5.625" style="12" customWidth="1"/>
    <col min="10751" max="10990" width="5.625" style="12"/>
    <col min="10991" max="11006" width="5.625" style="12" customWidth="1"/>
    <col min="11007" max="11246" width="5.625" style="12"/>
    <col min="11247" max="11262" width="5.625" style="12" customWidth="1"/>
    <col min="11263" max="11502" width="5.625" style="12"/>
    <col min="11503" max="11518" width="5.625" style="12" customWidth="1"/>
    <col min="11519" max="11758" width="5.625" style="12"/>
    <col min="11759" max="11774" width="5.625" style="12" customWidth="1"/>
    <col min="11775" max="12014" width="5.625" style="12"/>
    <col min="12015" max="12030" width="5.625" style="12" customWidth="1"/>
    <col min="12031" max="12270" width="5.625" style="12"/>
    <col min="12271" max="12286" width="5.625" style="12" customWidth="1"/>
    <col min="12287" max="12526" width="5.625" style="12"/>
    <col min="12527" max="12542" width="5.625" style="12" customWidth="1"/>
    <col min="12543" max="12782" width="5.625" style="12"/>
    <col min="12783" max="12798" width="5.625" style="12" customWidth="1"/>
    <col min="12799" max="13038" width="5.625" style="12"/>
    <col min="13039" max="13054" width="5.625" style="12" customWidth="1"/>
    <col min="13055" max="13294" width="5.625" style="12"/>
    <col min="13295" max="13310" width="5.625" style="12" customWidth="1"/>
    <col min="13311" max="13550" width="5.625" style="12"/>
    <col min="13551" max="13566" width="5.625" style="12" customWidth="1"/>
    <col min="13567" max="13806" width="5.625" style="12"/>
    <col min="13807" max="13822" width="5.625" style="12" customWidth="1"/>
    <col min="13823" max="14062" width="5.625" style="12"/>
    <col min="14063" max="14078" width="5.625" style="12" customWidth="1"/>
    <col min="14079" max="14318" width="5.625" style="12"/>
    <col min="14319" max="14334" width="5.625" style="12" customWidth="1"/>
    <col min="14335" max="14574" width="5.625" style="12"/>
    <col min="14575" max="14590" width="5.625" style="12" customWidth="1"/>
    <col min="14591" max="14830" width="5.625" style="12"/>
    <col min="14831" max="14846" width="5.625" style="12" customWidth="1"/>
    <col min="14847" max="15086" width="5.625" style="12"/>
    <col min="15087" max="15102" width="5.625" style="12" customWidth="1"/>
    <col min="15103" max="15342" width="5.625" style="12"/>
    <col min="15343" max="15358" width="5.625" style="12" customWidth="1"/>
    <col min="15359" max="15598" width="5.625" style="12"/>
    <col min="15599" max="15614" width="5.625" style="12" customWidth="1"/>
    <col min="15615" max="15854" width="5.625" style="12"/>
    <col min="15855" max="15870" width="5.625" style="12" customWidth="1"/>
    <col min="15871" max="16110" width="5.625" style="12"/>
    <col min="16111" max="16126" width="5.625" style="12" customWidth="1"/>
    <col min="16127" max="16384" width="5.625" style="12"/>
  </cols>
  <sheetData>
    <row r="1" spans="1:31" ht="13.5" customHeight="1" x14ac:dyDescent="0.15">
      <c r="A1" s="260" t="s">
        <v>81</v>
      </c>
      <c r="B1" s="261"/>
      <c r="C1" s="261"/>
      <c r="D1" s="261"/>
      <c r="E1" s="261"/>
      <c r="F1" s="262"/>
      <c r="G1" s="311" t="s">
        <v>5</v>
      </c>
      <c r="H1" s="312"/>
      <c r="I1" s="313"/>
      <c r="J1" s="21"/>
      <c r="K1" s="94"/>
      <c r="L1" s="94"/>
      <c r="M1" s="94"/>
      <c r="N1" s="94"/>
      <c r="O1" s="94"/>
      <c r="P1" s="311" t="s">
        <v>8</v>
      </c>
      <c r="Q1" s="313"/>
      <c r="R1" s="311" t="s">
        <v>7</v>
      </c>
      <c r="S1" s="312"/>
      <c r="T1" s="313"/>
      <c r="U1" s="311" t="s">
        <v>9</v>
      </c>
      <c r="V1" s="313"/>
      <c r="W1" s="311" t="s">
        <v>10</v>
      </c>
      <c r="X1" s="312"/>
      <c r="Y1" s="313"/>
      <c r="Z1" s="107"/>
      <c r="AA1" s="12" t="s">
        <v>128</v>
      </c>
      <c r="AE1" s="12" t="s">
        <v>124</v>
      </c>
    </row>
    <row r="2" spans="1:31" ht="13.5" customHeight="1" x14ac:dyDescent="0.15">
      <c r="A2" s="266"/>
      <c r="B2" s="267"/>
      <c r="C2" s="267"/>
      <c r="D2" s="267"/>
      <c r="E2" s="267"/>
      <c r="F2" s="268"/>
      <c r="G2" s="311" t="s">
        <v>6</v>
      </c>
      <c r="H2" s="312"/>
      <c r="I2" s="313"/>
      <c r="J2" s="21"/>
      <c r="K2" s="95"/>
      <c r="L2" s="95"/>
      <c r="M2" s="95"/>
      <c r="N2" s="95"/>
      <c r="O2" s="95"/>
      <c r="P2" s="246"/>
      <c r="Q2" s="247"/>
      <c r="R2" s="273"/>
      <c r="S2" s="274"/>
      <c r="T2" s="275"/>
      <c r="U2" s="246"/>
      <c r="V2" s="247"/>
      <c r="W2" s="273"/>
      <c r="X2" s="274"/>
      <c r="Y2" s="275"/>
      <c r="Z2" s="107"/>
      <c r="AA2" s="12">
        <f>SUM(AB:AB)</f>
        <v>20</v>
      </c>
    </row>
    <row r="3" spans="1:31" ht="13.5" customHeight="1" x14ac:dyDescent="0.15">
      <c r="A3" s="311" t="s">
        <v>82</v>
      </c>
      <c r="B3" s="312"/>
      <c r="C3" s="21" t="str">
        <f ca="1">RIGHT(CELL("filename",A2),LEN(CELL("filename",A2))-FIND("]",CELL("filename",A2)))</f>
        <v>ｲﾝｼﾃﾞﾝﾄ緊急度</v>
      </c>
      <c r="D3" s="95"/>
      <c r="E3" s="95"/>
      <c r="F3" s="95"/>
      <c r="G3" s="311" t="s">
        <v>83</v>
      </c>
      <c r="H3" s="312"/>
      <c r="I3" s="313"/>
      <c r="J3" s="21" t="s">
        <v>239</v>
      </c>
      <c r="K3" s="95"/>
      <c r="L3" s="95"/>
      <c r="M3" s="95"/>
      <c r="N3" s="95"/>
      <c r="O3" s="95"/>
      <c r="P3" s="248"/>
      <c r="Q3" s="249"/>
      <c r="R3" s="276"/>
      <c r="S3" s="277"/>
      <c r="T3" s="278"/>
      <c r="U3" s="248"/>
      <c r="V3" s="249"/>
      <c r="W3" s="276"/>
      <c r="X3" s="277"/>
      <c r="Y3" s="278"/>
      <c r="Z3" s="107"/>
    </row>
    <row r="4" spans="1:31" x14ac:dyDescent="0.15">
      <c r="A4" s="86"/>
      <c r="B4" s="18"/>
      <c r="C4" s="18"/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  <c r="O4" s="18"/>
      <c r="P4" s="18"/>
      <c r="Q4" s="18"/>
      <c r="R4" s="18"/>
      <c r="S4" s="18"/>
      <c r="T4" s="18"/>
      <c r="U4" s="18"/>
      <c r="V4" s="18"/>
      <c r="W4" s="18"/>
      <c r="X4" s="18"/>
      <c r="Y4" s="18"/>
      <c r="Z4" s="92"/>
    </row>
    <row r="5" spans="1:31" ht="13.5" customHeight="1" x14ac:dyDescent="0.15">
      <c r="A5" s="83" t="s">
        <v>93</v>
      </c>
      <c r="B5" s="84"/>
      <c r="C5" s="84"/>
      <c r="D5" s="84"/>
      <c r="E5" s="84"/>
      <c r="F5" s="84"/>
      <c r="G5" s="84"/>
      <c r="H5" s="84"/>
      <c r="I5" s="84"/>
      <c r="J5" s="84"/>
      <c r="K5" s="84"/>
      <c r="L5" s="84"/>
      <c r="M5" s="84"/>
      <c r="N5" s="84"/>
      <c r="O5" s="84"/>
      <c r="P5" s="84"/>
      <c r="Q5" s="84"/>
      <c r="R5" s="84"/>
      <c r="S5" s="84"/>
      <c r="T5" s="84"/>
      <c r="U5" s="84"/>
      <c r="V5" s="84"/>
      <c r="W5" s="84"/>
      <c r="X5" s="84"/>
      <c r="Y5" s="85"/>
      <c r="Z5" s="92"/>
    </row>
    <row r="6" spans="1:31" x14ac:dyDescent="0.15">
      <c r="A6" s="164"/>
      <c r="B6" s="165"/>
      <c r="C6" s="165"/>
      <c r="D6" s="165"/>
      <c r="E6" s="165"/>
      <c r="F6" s="165"/>
      <c r="G6" s="165"/>
      <c r="H6" s="165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165"/>
      <c r="U6" s="165"/>
      <c r="V6" s="165"/>
      <c r="W6" s="165"/>
      <c r="X6" s="165"/>
      <c r="Y6" s="166"/>
      <c r="Z6" s="92"/>
    </row>
    <row r="7" spans="1:31" x14ac:dyDescent="0.15">
      <c r="A7" s="17"/>
      <c r="B7" s="163" t="s">
        <v>84</v>
      </c>
      <c r="C7" s="311" t="s">
        <v>205</v>
      </c>
      <c r="D7" s="312"/>
      <c r="E7" s="312"/>
      <c r="F7" s="313"/>
      <c r="G7" s="311" t="s">
        <v>83</v>
      </c>
      <c r="H7" s="312"/>
      <c r="I7" s="313"/>
      <c r="J7" s="311" t="s">
        <v>85</v>
      </c>
      <c r="K7" s="313"/>
      <c r="L7" s="97" t="s">
        <v>86</v>
      </c>
      <c r="M7" s="97" t="s">
        <v>87</v>
      </c>
      <c r="N7" s="97" t="s">
        <v>121</v>
      </c>
      <c r="O7" s="97" t="s">
        <v>88</v>
      </c>
      <c r="P7" s="97" t="s">
        <v>89</v>
      </c>
      <c r="Q7" s="97" t="s">
        <v>89</v>
      </c>
      <c r="R7" s="97" t="s">
        <v>89</v>
      </c>
      <c r="S7" s="97" t="s">
        <v>89</v>
      </c>
      <c r="T7" s="97" t="s">
        <v>89</v>
      </c>
      <c r="U7" s="311" t="s">
        <v>90</v>
      </c>
      <c r="V7" s="312"/>
      <c r="W7" s="312"/>
      <c r="X7" s="313"/>
      <c r="Y7" s="98"/>
      <c r="Z7" s="96" t="s">
        <v>126</v>
      </c>
      <c r="AA7" s="12" t="s">
        <v>127</v>
      </c>
      <c r="AB7" s="12" t="s">
        <v>125</v>
      </c>
    </row>
    <row r="8" spans="1:31" x14ac:dyDescent="0.15">
      <c r="A8" s="17"/>
      <c r="B8" s="99" t="s">
        <v>94</v>
      </c>
      <c r="C8" s="301" t="s">
        <v>216</v>
      </c>
      <c r="D8" s="302"/>
      <c r="E8" s="302"/>
      <c r="F8" s="303"/>
      <c r="G8" s="304">
        <v>1</v>
      </c>
      <c r="H8" s="305"/>
      <c r="I8" s="306"/>
      <c r="J8" s="304" t="s">
        <v>91</v>
      </c>
      <c r="K8" s="306"/>
      <c r="L8" s="100">
        <v>1</v>
      </c>
      <c r="M8" s="100"/>
      <c r="N8" s="100"/>
      <c r="O8" s="100"/>
      <c r="P8" s="100"/>
      <c r="Q8" s="100"/>
      <c r="R8" s="100"/>
      <c r="S8" s="100"/>
      <c r="T8" s="100"/>
      <c r="U8" s="307" t="s">
        <v>210</v>
      </c>
      <c r="V8" s="308"/>
      <c r="W8" s="308"/>
      <c r="X8" s="309"/>
      <c r="Y8" s="98"/>
      <c r="Z8" s="106">
        <f t="shared" ref="Z8:Z37" si="0">IF(LEFT(J8,7)="decimal",INT(MID(J8,9,FIND(",",J8,9)-9)),0)</f>
        <v>0</v>
      </c>
      <c r="AA8" s="105">
        <f t="shared" ref="AA8:AA37" si="1">IF(J8="varbinary(max)",2147483647,IF(J8="bit",1,IF(LEFT(J8,4)="char",INT(MID(J8,6,LEN(J8)-6)),IF(LEFT(J8,7)="varchar",INT(MID(J8,9,LEN(J8)-9)+2),IF(LEFT(J8,8)="nvarchar",INT(MID(J8,10,LEN(J8)-10)*2+2),IF(LEFT(J8,7)="decimal",IF(Z8&lt;10,5,IF(Z8&lt;20,9,IF(Z8&lt;29,13,17))),0))))))</f>
        <v>0</v>
      </c>
      <c r="AB8" s="105">
        <f t="shared" ref="AB8:AB37" si="2">IF(AA8&gt;0,AA8,IF(J8="date",3,IF(OR(J8="int",J8="real"),4,IF(J8="time",5,IF(OR(J8="datetime",J8="float",J8="datetime2"),8,IF(J8="uniqueidentifier",16,0))))))</f>
        <v>4</v>
      </c>
    </row>
    <row r="9" spans="1:31" x14ac:dyDescent="0.15">
      <c r="A9" s="101"/>
      <c r="B9" s="99">
        <f>B8+1</f>
        <v>2</v>
      </c>
      <c r="C9" s="301" t="s">
        <v>276</v>
      </c>
      <c r="D9" s="302"/>
      <c r="E9" s="302"/>
      <c r="F9" s="303"/>
      <c r="G9" s="304">
        <v>1</v>
      </c>
      <c r="H9" s="305"/>
      <c r="I9" s="306"/>
      <c r="J9" s="304" t="s">
        <v>219</v>
      </c>
      <c r="K9" s="306"/>
      <c r="L9" s="100"/>
      <c r="M9" s="171" t="s">
        <v>92</v>
      </c>
      <c r="N9" s="100"/>
      <c r="O9" s="100"/>
      <c r="P9" s="100"/>
      <c r="Q9" s="100"/>
      <c r="R9" s="100"/>
      <c r="S9" s="100"/>
      <c r="T9" s="100"/>
      <c r="U9" s="301"/>
      <c r="V9" s="302"/>
      <c r="W9" s="302"/>
      <c r="X9" s="303"/>
      <c r="Y9" s="98"/>
      <c r="Z9" s="106">
        <f>IF(LEFT(J9,7)="decimal",INT(MID(J9,9,FIND(",",J9,9)-9)),0)</f>
        <v>0</v>
      </c>
      <c r="AA9" s="105">
        <f>IF(J9="varbinary(max)",2147483647,IF(J9="bit",1,IF(LEFT(J9,4)="char",INT(MID(J9,6,LEN(J9)-6)),IF(LEFT(J9,7)="varchar",INT(MID(J9,9,LEN(J9)-9)+2),IF(LEFT(J9,8)="nvarchar",INT(MID(J9,10,LEN(J9)-10)*2+2),IF(LEFT(J9,7)="decimal",IF(Z9&lt;10,5,IF(Z9&lt;20,9,IF(Z9&lt;29,13,17))),0))))))</f>
        <v>0</v>
      </c>
      <c r="AB9" s="105">
        <f>IF(AA9&gt;0,AA9,IF(J9="date",3,IF(OR(J9="int",J9="real"),4,IF(J9="time",5,IF(OR(J9="datetime",J9="float",J9="datetime2"),8,IF(J9="uniqueidentifier",16,0))))))</f>
        <v>8</v>
      </c>
    </row>
    <row r="10" spans="1:31" x14ac:dyDescent="0.15">
      <c r="A10" s="17"/>
      <c r="B10" s="99">
        <f t="shared" ref="B10:B37" si="3">B9+1</f>
        <v>3</v>
      </c>
      <c r="C10" s="301" t="s">
        <v>277</v>
      </c>
      <c r="D10" s="302"/>
      <c r="E10" s="302"/>
      <c r="F10" s="303"/>
      <c r="G10" s="304">
        <v>1</v>
      </c>
      <c r="H10" s="305"/>
      <c r="I10" s="306"/>
      <c r="J10" s="304" t="s">
        <v>219</v>
      </c>
      <c r="K10" s="306"/>
      <c r="L10" s="100"/>
      <c r="M10" s="100"/>
      <c r="N10" s="100"/>
      <c r="O10" s="100"/>
      <c r="P10" s="100"/>
      <c r="Q10" s="100"/>
      <c r="R10" s="100"/>
      <c r="S10" s="100"/>
      <c r="T10" s="100"/>
      <c r="U10" s="301"/>
      <c r="V10" s="302"/>
      <c r="W10" s="302"/>
      <c r="X10" s="303"/>
      <c r="Y10" s="98"/>
      <c r="Z10" s="106">
        <f t="shared" si="0"/>
        <v>0</v>
      </c>
      <c r="AA10" s="105">
        <f t="shared" si="1"/>
        <v>0</v>
      </c>
      <c r="AB10" s="105">
        <f t="shared" si="2"/>
        <v>8</v>
      </c>
    </row>
    <row r="11" spans="1:31" x14ac:dyDescent="0.15">
      <c r="A11" s="17"/>
      <c r="B11" s="99">
        <f t="shared" si="3"/>
        <v>4</v>
      </c>
      <c r="C11" s="301"/>
      <c r="D11" s="302"/>
      <c r="E11" s="302"/>
      <c r="F11" s="303"/>
      <c r="G11" s="304"/>
      <c r="H11" s="305"/>
      <c r="I11" s="306"/>
      <c r="J11" s="304"/>
      <c r="K11" s="306"/>
      <c r="L11" s="100"/>
      <c r="M11" s="100"/>
      <c r="N11" s="100"/>
      <c r="O11" s="100"/>
      <c r="P11" s="100"/>
      <c r="Q11" s="100"/>
      <c r="R11" s="100"/>
      <c r="S11" s="100"/>
      <c r="T11" s="100"/>
      <c r="U11" s="301"/>
      <c r="V11" s="302"/>
      <c r="W11" s="302"/>
      <c r="X11" s="303"/>
      <c r="Y11" s="98"/>
      <c r="Z11" s="106">
        <f t="shared" si="0"/>
        <v>0</v>
      </c>
      <c r="AA11" s="105">
        <f t="shared" si="1"/>
        <v>0</v>
      </c>
      <c r="AB11" s="105">
        <f t="shared" si="2"/>
        <v>0</v>
      </c>
    </row>
    <row r="12" spans="1:31" x14ac:dyDescent="0.15">
      <c r="A12" s="17"/>
      <c r="B12" s="99">
        <f t="shared" si="3"/>
        <v>5</v>
      </c>
      <c r="C12" s="301"/>
      <c r="D12" s="302"/>
      <c r="E12" s="302"/>
      <c r="F12" s="303"/>
      <c r="G12" s="304"/>
      <c r="H12" s="305"/>
      <c r="I12" s="306"/>
      <c r="J12" s="304"/>
      <c r="K12" s="306"/>
      <c r="L12" s="100"/>
      <c r="M12" s="171"/>
      <c r="N12" s="100"/>
      <c r="O12" s="100"/>
      <c r="P12" s="100"/>
      <c r="Q12" s="100"/>
      <c r="R12" s="100"/>
      <c r="S12" s="100"/>
      <c r="T12" s="100"/>
      <c r="U12" s="301"/>
      <c r="V12" s="302"/>
      <c r="W12" s="302"/>
      <c r="X12" s="303"/>
      <c r="Y12" s="98"/>
      <c r="Z12" s="106">
        <f t="shared" si="0"/>
        <v>0</v>
      </c>
      <c r="AA12" s="105">
        <f t="shared" si="1"/>
        <v>0</v>
      </c>
      <c r="AB12" s="105">
        <f t="shared" si="2"/>
        <v>0</v>
      </c>
    </row>
    <row r="13" spans="1:31" x14ac:dyDescent="0.15">
      <c r="A13" s="17"/>
      <c r="B13" s="99">
        <f t="shared" si="3"/>
        <v>6</v>
      </c>
      <c r="C13" s="301"/>
      <c r="D13" s="302"/>
      <c r="E13" s="302"/>
      <c r="F13" s="303"/>
      <c r="G13" s="304"/>
      <c r="H13" s="305"/>
      <c r="I13" s="306"/>
      <c r="J13" s="304"/>
      <c r="K13" s="306"/>
      <c r="L13" s="100"/>
      <c r="M13" s="171"/>
      <c r="N13" s="100"/>
      <c r="O13" s="100"/>
      <c r="P13" s="100"/>
      <c r="Q13" s="100"/>
      <c r="R13" s="100"/>
      <c r="S13" s="100"/>
      <c r="T13" s="100"/>
      <c r="U13" s="301"/>
      <c r="V13" s="302"/>
      <c r="W13" s="302"/>
      <c r="X13" s="303"/>
      <c r="Y13" s="98"/>
      <c r="Z13" s="106">
        <f t="shared" si="0"/>
        <v>0</v>
      </c>
      <c r="AA13" s="105">
        <f t="shared" si="1"/>
        <v>0</v>
      </c>
      <c r="AB13" s="105">
        <f t="shared" si="2"/>
        <v>0</v>
      </c>
    </row>
    <row r="14" spans="1:31" x14ac:dyDescent="0.15">
      <c r="A14" s="17"/>
      <c r="B14" s="99">
        <f t="shared" si="3"/>
        <v>7</v>
      </c>
      <c r="C14" s="301"/>
      <c r="D14" s="302"/>
      <c r="E14" s="302"/>
      <c r="F14" s="303"/>
      <c r="G14" s="304"/>
      <c r="H14" s="305"/>
      <c r="I14" s="306"/>
      <c r="J14" s="304"/>
      <c r="K14" s="306"/>
      <c r="L14" s="100"/>
      <c r="M14" s="171"/>
      <c r="N14" s="100"/>
      <c r="O14" s="100"/>
      <c r="P14" s="100"/>
      <c r="Q14" s="100"/>
      <c r="R14" s="100"/>
      <c r="S14" s="100"/>
      <c r="T14" s="100"/>
      <c r="U14" s="301"/>
      <c r="V14" s="302"/>
      <c r="W14" s="302"/>
      <c r="X14" s="303"/>
      <c r="Y14" s="98"/>
      <c r="Z14" s="106">
        <f t="shared" si="0"/>
        <v>0</v>
      </c>
      <c r="AA14" s="105">
        <f t="shared" si="1"/>
        <v>0</v>
      </c>
      <c r="AB14" s="105">
        <f>IF(AA14&gt;0,AA14,IF(J14="date",3,IF(OR(J14="int",J14="real"),4,IF(J14="time",5,IF(OR(J14="datetime",J14="float",J14="datetime2"),8,IF(J14="uniqueidentifier",16,0))))))</f>
        <v>0</v>
      </c>
    </row>
    <row r="15" spans="1:31" x14ac:dyDescent="0.15">
      <c r="A15" s="17"/>
      <c r="B15" s="99">
        <f t="shared" si="3"/>
        <v>8</v>
      </c>
      <c r="C15" s="301"/>
      <c r="D15" s="302"/>
      <c r="E15" s="302"/>
      <c r="F15" s="303"/>
      <c r="G15" s="304"/>
      <c r="H15" s="305"/>
      <c r="I15" s="306"/>
      <c r="J15" s="304"/>
      <c r="K15" s="306"/>
      <c r="L15" s="100"/>
      <c r="M15" s="162"/>
      <c r="N15" s="100"/>
      <c r="O15" s="100"/>
      <c r="P15" s="100"/>
      <c r="Q15" s="100"/>
      <c r="R15" s="100"/>
      <c r="S15" s="100"/>
      <c r="T15" s="100"/>
      <c r="U15" s="301"/>
      <c r="V15" s="302"/>
      <c r="W15" s="302"/>
      <c r="X15" s="303"/>
      <c r="Y15" s="98"/>
      <c r="Z15" s="106">
        <f t="shared" si="0"/>
        <v>0</v>
      </c>
      <c r="AA15" s="105">
        <f t="shared" si="1"/>
        <v>0</v>
      </c>
      <c r="AB15" s="105">
        <f t="shared" si="2"/>
        <v>0</v>
      </c>
    </row>
    <row r="16" spans="1:31" x14ac:dyDescent="0.15">
      <c r="A16" s="101"/>
      <c r="B16" s="99">
        <f t="shared" si="3"/>
        <v>9</v>
      </c>
      <c r="C16" s="301"/>
      <c r="D16" s="302"/>
      <c r="E16" s="302"/>
      <c r="F16" s="303"/>
      <c r="G16" s="304"/>
      <c r="H16" s="305"/>
      <c r="I16" s="306"/>
      <c r="J16" s="304"/>
      <c r="K16" s="306"/>
      <c r="L16" s="100"/>
      <c r="M16" s="162"/>
      <c r="N16" s="100"/>
      <c r="O16" s="100"/>
      <c r="P16" s="100"/>
      <c r="Q16" s="100"/>
      <c r="R16" s="100"/>
      <c r="S16" s="100"/>
      <c r="T16" s="100"/>
      <c r="U16" s="301"/>
      <c r="V16" s="302"/>
      <c r="W16" s="302"/>
      <c r="X16" s="303"/>
      <c r="Y16" s="98"/>
      <c r="Z16" s="106">
        <f t="shared" si="0"/>
        <v>0</v>
      </c>
      <c r="AA16" s="105">
        <f t="shared" si="1"/>
        <v>0</v>
      </c>
      <c r="AB16" s="105">
        <f t="shared" si="2"/>
        <v>0</v>
      </c>
    </row>
    <row r="17" spans="1:28" x14ac:dyDescent="0.15">
      <c r="A17" s="101"/>
      <c r="B17" s="99">
        <f t="shared" si="3"/>
        <v>10</v>
      </c>
      <c r="C17" s="301"/>
      <c r="D17" s="302"/>
      <c r="E17" s="302"/>
      <c r="F17" s="303"/>
      <c r="G17" s="304"/>
      <c r="H17" s="305"/>
      <c r="I17" s="306"/>
      <c r="J17" s="304"/>
      <c r="K17" s="306"/>
      <c r="L17" s="100"/>
      <c r="M17" s="162"/>
      <c r="N17" s="100"/>
      <c r="O17" s="100"/>
      <c r="P17" s="100"/>
      <c r="Q17" s="100"/>
      <c r="R17" s="100"/>
      <c r="S17" s="100"/>
      <c r="T17" s="100"/>
      <c r="U17" s="301"/>
      <c r="V17" s="302"/>
      <c r="W17" s="302"/>
      <c r="X17" s="303"/>
      <c r="Y17" s="98"/>
      <c r="Z17" s="106">
        <f t="shared" si="0"/>
        <v>0</v>
      </c>
      <c r="AA17" s="105">
        <f t="shared" si="1"/>
        <v>0</v>
      </c>
      <c r="AB17" s="105">
        <f t="shared" si="2"/>
        <v>0</v>
      </c>
    </row>
    <row r="18" spans="1:28" x14ac:dyDescent="0.15">
      <c r="A18" s="101"/>
      <c r="B18" s="99">
        <f t="shared" si="3"/>
        <v>11</v>
      </c>
      <c r="C18" s="301"/>
      <c r="D18" s="302"/>
      <c r="E18" s="302"/>
      <c r="F18" s="303"/>
      <c r="G18" s="304"/>
      <c r="H18" s="305"/>
      <c r="I18" s="306"/>
      <c r="J18" s="304"/>
      <c r="K18" s="306"/>
      <c r="L18" s="100"/>
      <c r="M18" s="100"/>
      <c r="N18" s="100"/>
      <c r="O18" s="100"/>
      <c r="P18" s="100"/>
      <c r="Q18" s="100"/>
      <c r="R18" s="100"/>
      <c r="S18" s="100"/>
      <c r="T18" s="100"/>
      <c r="U18" s="301"/>
      <c r="V18" s="302"/>
      <c r="W18" s="302"/>
      <c r="X18" s="303"/>
      <c r="Y18" s="98"/>
      <c r="Z18" s="106">
        <f t="shared" si="0"/>
        <v>0</v>
      </c>
      <c r="AA18" s="105">
        <f t="shared" si="1"/>
        <v>0</v>
      </c>
      <c r="AB18" s="105">
        <f t="shared" si="2"/>
        <v>0</v>
      </c>
    </row>
    <row r="19" spans="1:28" x14ac:dyDescent="0.15">
      <c r="A19" s="101"/>
      <c r="B19" s="99">
        <f t="shared" si="3"/>
        <v>12</v>
      </c>
      <c r="C19" s="301"/>
      <c r="D19" s="302"/>
      <c r="E19" s="302"/>
      <c r="F19" s="303"/>
      <c r="G19" s="304"/>
      <c r="H19" s="305"/>
      <c r="I19" s="306"/>
      <c r="J19" s="304"/>
      <c r="K19" s="306"/>
      <c r="L19" s="100"/>
      <c r="M19" s="100"/>
      <c r="N19" s="100"/>
      <c r="O19" s="100"/>
      <c r="P19" s="100"/>
      <c r="Q19" s="100"/>
      <c r="R19" s="100"/>
      <c r="S19" s="100"/>
      <c r="T19" s="100"/>
      <c r="U19" s="301"/>
      <c r="V19" s="302"/>
      <c r="W19" s="302"/>
      <c r="X19" s="303"/>
      <c r="Y19" s="98"/>
      <c r="Z19" s="106">
        <f t="shared" si="0"/>
        <v>0</v>
      </c>
      <c r="AA19" s="105">
        <f t="shared" si="1"/>
        <v>0</v>
      </c>
      <c r="AB19" s="105">
        <f t="shared" si="2"/>
        <v>0</v>
      </c>
    </row>
    <row r="20" spans="1:28" x14ac:dyDescent="0.15">
      <c r="A20" s="101"/>
      <c r="B20" s="99">
        <f t="shared" si="3"/>
        <v>13</v>
      </c>
      <c r="C20" s="301"/>
      <c r="D20" s="302"/>
      <c r="E20" s="302"/>
      <c r="F20" s="303"/>
      <c r="G20" s="304"/>
      <c r="H20" s="305"/>
      <c r="I20" s="306"/>
      <c r="J20" s="304"/>
      <c r="K20" s="306"/>
      <c r="L20" s="100"/>
      <c r="M20" s="100"/>
      <c r="N20" s="100"/>
      <c r="O20" s="100"/>
      <c r="P20" s="100"/>
      <c r="Q20" s="100"/>
      <c r="R20" s="100"/>
      <c r="S20" s="100"/>
      <c r="T20" s="100"/>
      <c r="U20" s="301"/>
      <c r="V20" s="302"/>
      <c r="W20" s="302"/>
      <c r="X20" s="303"/>
      <c r="Y20" s="98"/>
      <c r="Z20" s="106">
        <f t="shared" si="0"/>
        <v>0</v>
      </c>
      <c r="AA20" s="105">
        <f t="shared" si="1"/>
        <v>0</v>
      </c>
      <c r="AB20" s="105">
        <f t="shared" si="2"/>
        <v>0</v>
      </c>
    </row>
    <row r="21" spans="1:28" x14ac:dyDescent="0.15">
      <c r="A21" s="101"/>
      <c r="B21" s="99">
        <f t="shared" si="3"/>
        <v>14</v>
      </c>
      <c r="C21" s="301"/>
      <c r="D21" s="302"/>
      <c r="E21" s="302"/>
      <c r="F21" s="303"/>
      <c r="G21" s="304"/>
      <c r="H21" s="305"/>
      <c r="I21" s="306"/>
      <c r="J21" s="304"/>
      <c r="K21" s="306"/>
      <c r="L21" s="100"/>
      <c r="M21" s="100"/>
      <c r="N21" s="100"/>
      <c r="O21" s="100"/>
      <c r="P21" s="100"/>
      <c r="Q21" s="100"/>
      <c r="R21" s="100"/>
      <c r="S21" s="100"/>
      <c r="T21" s="100"/>
      <c r="U21" s="301"/>
      <c r="V21" s="302"/>
      <c r="W21" s="302"/>
      <c r="X21" s="303"/>
      <c r="Y21" s="98"/>
      <c r="Z21" s="106">
        <f t="shared" si="0"/>
        <v>0</v>
      </c>
      <c r="AA21" s="105">
        <f t="shared" si="1"/>
        <v>0</v>
      </c>
      <c r="AB21" s="105">
        <f t="shared" si="2"/>
        <v>0</v>
      </c>
    </row>
    <row r="22" spans="1:28" x14ac:dyDescent="0.15">
      <c r="A22" s="101"/>
      <c r="B22" s="99">
        <f t="shared" si="3"/>
        <v>15</v>
      </c>
      <c r="C22" s="301"/>
      <c r="D22" s="302"/>
      <c r="E22" s="302"/>
      <c r="F22" s="303"/>
      <c r="G22" s="304"/>
      <c r="H22" s="305"/>
      <c r="I22" s="306"/>
      <c r="J22" s="304"/>
      <c r="K22" s="306"/>
      <c r="L22" s="100"/>
      <c r="M22" s="162"/>
      <c r="N22" s="100"/>
      <c r="O22" s="100"/>
      <c r="P22" s="100"/>
      <c r="Q22" s="100"/>
      <c r="R22" s="100"/>
      <c r="S22" s="100"/>
      <c r="T22" s="100"/>
      <c r="U22" s="301"/>
      <c r="V22" s="302"/>
      <c r="W22" s="302"/>
      <c r="X22" s="303"/>
      <c r="Y22" s="98"/>
      <c r="Z22" s="106">
        <f t="shared" si="0"/>
        <v>0</v>
      </c>
      <c r="AA22" s="105">
        <f t="shared" si="1"/>
        <v>0</v>
      </c>
      <c r="AB22" s="105">
        <f t="shared" si="2"/>
        <v>0</v>
      </c>
    </row>
    <row r="23" spans="1:28" x14ac:dyDescent="0.15">
      <c r="A23" s="101"/>
      <c r="B23" s="99">
        <f t="shared" si="3"/>
        <v>16</v>
      </c>
      <c r="C23" s="301"/>
      <c r="D23" s="302"/>
      <c r="E23" s="302"/>
      <c r="F23" s="303"/>
      <c r="G23" s="304"/>
      <c r="H23" s="305"/>
      <c r="I23" s="306"/>
      <c r="J23" s="304"/>
      <c r="K23" s="306"/>
      <c r="L23" s="100"/>
      <c r="M23" s="100"/>
      <c r="N23" s="100"/>
      <c r="O23" s="100"/>
      <c r="P23" s="100"/>
      <c r="Q23" s="100"/>
      <c r="R23" s="100"/>
      <c r="S23" s="100"/>
      <c r="T23" s="100"/>
      <c r="U23" s="301"/>
      <c r="V23" s="302"/>
      <c r="W23" s="302"/>
      <c r="X23" s="303"/>
      <c r="Y23" s="98"/>
      <c r="Z23" s="106">
        <f t="shared" si="0"/>
        <v>0</v>
      </c>
      <c r="AA23" s="105">
        <f t="shared" si="1"/>
        <v>0</v>
      </c>
      <c r="AB23" s="105">
        <f t="shared" si="2"/>
        <v>0</v>
      </c>
    </row>
    <row r="24" spans="1:28" x14ac:dyDescent="0.15">
      <c r="A24" s="101"/>
      <c r="B24" s="99">
        <f t="shared" si="3"/>
        <v>17</v>
      </c>
      <c r="C24" s="301"/>
      <c r="D24" s="302"/>
      <c r="E24" s="302"/>
      <c r="F24" s="303"/>
      <c r="G24" s="304"/>
      <c r="H24" s="305"/>
      <c r="I24" s="306"/>
      <c r="J24" s="304"/>
      <c r="K24" s="306"/>
      <c r="L24" s="100"/>
      <c r="M24" s="100"/>
      <c r="N24" s="100"/>
      <c r="O24" s="100"/>
      <c r="P24" s="100"/>
      <c r="Q24" s="100"/>
      <c r="R24" s="100"/>
      <c r="S24" s="100"/>
      <c r="T24" s="100"/>
      <c r="U24" s="301"/>
      <c r="V24" s="302"/>
      <c r="W24" s="302"/>
      <c r="X24" s="303"/>
      <c r="Y24" s="98"/>
      <c r="Z24" s="106">
        <f t="shared" si="0"/>
        <v>0</v>
      </c>
      <c r="AA24" s="105">
        <f t="shared" si="1"/>
        <v>0</v>
      </c>
      <c r="AB24" s="105">
        <f t="shared" si="2"/>
        <v>0</v>
      </c>
    </row>
    <row r="25" spans="1:28" x14ac:dyDescent="0.15">
      <c r="A25" s="101"/>
      <c r="B25" s="99">
        <f t="shared" si="3"/>
        <v>18</v>
      </c>
      <c r="C25" s="301"/>
      <c r="D25" s="302"/>
      <c r="E25" s="302"/>
      <c r="F25" s="303"/>
      <c r="G25" s="304"/>
      <c r="H25" s="305"/>
      <c r="I25" s="306"/>
      <c r="J25" s="304"/>
      <c r="K25" s="306"/>
      <c r="L25" s="100"/>
      <c r="M25" s="162"/>
      <c r="N25" s="100"/>
      <c r="O25" s="100"/>
      <c r="P25" s="100"/>
      <c r="Q25" s="100"/>
      <c r="R25" s="100"/>
      <c r="S25" s="100"/>
      <c r="T25" s="100"/>
      <c r="U25" s="301"/>
      <c r="V25" s="302"/>
      <c r="W25" s="302"/>
      <c r="X25" s="303"/>
      <c r="Y25" s="98"/>
      <c r="Z25" s="106">
        <f t="shared" si="0"/>
        <v>0</v>
      </c>
      <c r="AA25" s="105">
        <f t="shared" si="1"/>
        <v>0</v>
      </c>
      <c r="AB25" s="105">
        <f t="shared" si="2"/>
        <v>0</v>
      </c>
    </row>
    <row r="26" spans="1:28" x14ac:dyDescent="0.15">
      <c r="A26" s="101"/>
      <c r="B26" s="99">
        <f t="shared" si="3"/>
        <v>19</v>
      </c>
      <c r="C26" s="301"/>
      <c r="D26" s="302"/>
      <c r="E26" s="302"/>
      <c r="F26" s="303"/>
      <c r="G26" s="304"/>
      <c r="H26" s="305"/>
      <c r="I26" s="306"/>
      <c r="J26" s="304"/>
      <c r="K26" s="306"/>
      <c r="L26" s="100"/>
      <c r="M26" s="100"/>
      <c r="N26" s="100"/>
      <c r="O26" s="100"/>
      <c r="P26" s="100"/>
      <c r="Q26" s="100"/>
      <c r="R26" s="100"/>
      <c r="S26" s="100"/>
      <c r="T26" s="100"/>
      <c r="U26" s="301"/>
      <c r="V26" s="302"/>
      <c r="W26" s="302"/>
      <c r="X26" s="303"/>
      <c r="Y26" s="98"/>
      <c r="Z26" s="106">
        <f t="shared" si="0"/>
        <v>0</v>
      </c>
      <c r="AA26" s="105">
        <f t="shared" si="1"/>
        <v>0</v>
      </c>
      <c r="AB26" s="105">
        <f t="shared" si="2"/>
        <v>0</v>
      </c>
    </row>
    <row r="27" spans="1:28" x14ac:dyDescent="0.15">
      <c r="A27" s="101"/>
      <c r="B27" s="99">
        <f t="shared" si="3"/>
        <v>20</v>
      </c>
      <c r="C27" s="301"/>
      <c r="D27" s="302"/>
      <c r="E27" s="302"/>
      <c r="F27" s="303"/>
      <c r="G27" s="304"/>
      <c r="H27" s="305"/>
      <c r="I27" s="306"/>
      <c r="J27" s="304"/>
      <c r="K27" s="306"/>
      <c r="L27" s="100"/>
      <c r="M27" s="162"/>
      <c r="N27" s="100"/>
      <c r="O27" s="100"/>
      <c r="P27" s="100"/>
      <c r="Q27" s="100"/>
      <c r="R27" s="100"/>
      <c r="S27" s="100"/>
      <c r="T27" s="100"/>
      <c r="U27" s="301"/>
      <c r="V27" s="302"/>
      <c r="W27" s="302"/>
      <c r="X27" s="303"/>
      <c r="Y27" s="98"/>
      <c r="Z27" s="106">
        <f t="shared" si="0"/>
        <v>0</v>
      </c>
      <c r="AA27" s="105">
        <f t="shared" si="1"/>
        <v>0</v>
      </c>
      <c r="AB27" s="105">
        <f t="shared" si="2"/>
        <v>0</v>
      </c>
    </row>
    <row r="28" spans="1:28" x14ac:dyDescent="0.15">
      <c r="A28" s="101"/>
      <c r="B28" s="99">
        <f t="shared" si="3"/>
        <v>21</v>
      </c>
      <c r="C28" s="301"/>
      <c r="D28" s="302"/>
      <c r="E28" s="302"/>
      <c r="F28" s="303"/>
      <c r="G28" s="304"/>
      <c r="H28" s="305"/>
      <c r="I28" s="306"/>
      <c r="J28" s="304"/>
      <c r="K28" s="306"/>
      <c r="L28" s="100"/>
      <c r="M28" s="162"/>
      <c r="N28" s="100"/>
      <c r="O28" s="100"/>
      <c r="P28" s="100"/>
      <c r="Q28" s="100"/>
      <c r="R28" s="100"/>
      <c r="S28" s="100"/>
      <c r="T28" s="100"/>
      <c r="U28" s="301"/>
      <c r="V28" s="302"/>
      <c r="W28" s="302"/>
      <c r="X28" s="303"/>
      <c r="Y28" s="98"/>
      <c r="Z28" s="106">
        <f t="shared" si="0"/>
        <v>0</v>
      </c>
      <c r="AA28" s="105">
        <f t="shared" si="1"/>
        <v>0</v>
      </c>
      <c r="AB28" s="105">
        <f t="shared" si="2"/>
        <v>0</v>
      </c>
    </row>
    <row r="29" spans="1:28" x14ac:dyDescent="0.15">
      <c r="A29" s="101"/>
      <c r="B29" s="99">
        <f t="shared" si="3"/>
        <v>22</v>
      </c>
      <c r="C29" s="301"/>
      <c r="D29" s="302"/>
      <c r="E29" s="302"/>
      <c r="F29" s="303"/>
      <c r="G29" s="304"/>
      <c r="H29" s="305"/>
      <c r="I29" s="306"/>
      <c r="J29" s="304"/>
      <c r="K29" s="306"/>
      <c r="L29" s="100"/>
      <c r="M29" s="100"/>
      <c r="N29" s="100"/>
      <c r="O29" s="100"/>
      <c r="P29" s="100"/>
      <c r="Q29" s="100"/>
      <c r="R29" s="100"/>
      <c r="S29" s="100"/>
      <c r="T29" s="100"/>
      <c r="U29" s="301"/>
      <c r="V29" s="302"/>
      <c r="W29" s="302"/>
      <c r="X29" s="303"/>
      <c r="Y29" s="98"/>
      <c r="Z29" s="106">
        <f t="shared" si="0"/>
        <v>0</v>
      </c>
      <c r="AA29" s="105">
        <f t="shared" si="1"/>
        <v>0</v>
      </c>
      <c r="AB29" s="105">
        <f t="shared" si="2"/>
        <v>0</v>
      </c>
    </row>
    <row r="30" spans="1:28" x14ac:dyDescent="0.15">
      <c r="A30" s="101"/>
      <c r="B30" s="99">
        <f t="shared" si="3"/>
        <v>23</v>
      </c>
      <c r="C30" s="301"/>
      <c r="D30" s="302"/>
      <c r="E30" s="302"/>
      <c r="F30" s="303"/>
      <c r="G30" s="304"/>
      <c r="H30" s="305"/>
      <c r="I30" s="306"/>
      <c r="J30" s="304"/>
      <c r="K30" s="306"/>
      <c r="L30" s="100"/>
      <c r="M30" s="100"/>
      <c r="N30" s="100"/>
      <c r="O30" s="100"/>
      <c r="P30" s="100"/>
      <c r="Q30" s="100"/>
      <c r="R30" s="100"/>
      <c r="S30" s="100"/>
      <c r="T30" s="100"/>
      <c r="U30" s="301"/>
      <c r="V30" s="302"/>
      <c r="W30" s="302"/>
      <c r="X30" s="303"/>
      <c r="Y30" s="98"/>
      <c r="Z30" s="106">
        <f t="shared" si="0"/>
        <v>0</v>
      </c>
      <c r="AA30" s="105">
        <f t="shared" si="1"/>
        <v>0</v>
      </c>
      <c r="AB30" s="105">
        <f t="shared" si="2"/>
        <v>0</v>
      </c>
    </row>
    <row r="31" spans="1:28" x14ac:dyDescent="0.15">
      <c r="A31" s="101"/>
      <c r="B31" s="99">
        <f t="shared" si="3"/>
        <v>24</v>
      </c>
      <c r="C31" s="301"/>
      <c r="D31" s="302"/>
      <c r="E31" s="302"/>
      <c r="F31" s="303"/>
      <c r="G31" s="304"/>
      <c r="H31" s="305"/>
      <c r="I31" s="306"/>
      <c r="J31" s="304"/>
      <c r="K31" s="306"/>
      <c r="L31" s="100"/>
      <c r="M31" s="100"/>
      <c r="N31" s="100"/>
      <c r="O31" s="100"/>
      <c r="P31" s="100"/>
      <c r="Q31" s="100"/>
      <c r="R31" s="100"/>
      <c r="S31" s="100"/>
      <c r="T31" s="100"/>
      <c r="U31" s="301"/>
      <c r="V31" s="302"/>
      <c r="W31" s="302"/>
      <c r="X31" s="303"/>
      <c r="Y31" s="98"/>
      <c r="Z31" s="106">
        <f t="shared" si="0"/>
        <v>0</v>
      </c>
      <c r="AA31" s="105">
        <f t="shared" si="1"/>
        <v>0</v>
      </c>
      <c r="AB31" s="105">
        <f t="shared" si="2"/>
        <v>0</v>
      </c>
    </row>
    <row r="32" spans="1:28" x14ac:dyDescent="0.15">
      <c r="A32" s="101"/>
      <c r="B32" s="99">
        <f t="shared" si="3"/>
        <v>25</v>
      </c>
      <c r="C32" s="301"/>
      <c r="D32" s="302"/>
      <c r="E32" s="302"/>
      <c r="F32" s="303"/>
      <c r="G32" s="304"/>
      <c r="H32" s="305"/>
      <c r="I32" s="306"/>
      <c r="J32" s="304"/>
      <c r="K32" s="306"/>
      <c r="L32" s="100"/>
      <c r="M32" s="100"/>
      <c r="N32" s="100"/>
      <c r="O32" s="100"/>
      <c r="P32" s="100"/>
      <c r="Q32" s="100"/>
      <c r="R32" s="100"/>
      <c r="S32" s="100"/>
      <c r="T32" s="100"/>
      <c r="U32" s="301"/>
      <c r="V32" s="302"/>
      <c r="W32" s="302"/>
      <c r="X32" s="303"/>
      <c r="Y32" s="98"/>
      <c r="Z32" s="106">
        <f t="shared" si="0"/>
        <v>0</v>
      </c>
      <c r="AA32" s="105">
        <f t="shared" si="1"/>
        <v>0</v>
      </c>
      <c r="AB32" s="105">
        <f t="shared" si="2"/>
        <v>0</v>
      </c>
    </row>
    <row r="33" spans="1:28" x14ac:dyDescent="0.15">
      <c r="A33" s="101"/>
      <c r="B33" s="99">
        <f t="shared" si="3"/>
        <v>26</v>
      </c>
      <c r="C33" s="301"/>
      <c r="D33" s="302"/>
      <c r="E33" s="302"/>
      <c r="F33" s="303"/>
      <c r="G33" s="304"/>
      <c r="H33" s="305"/>
      <c r="I33" s="306"/>
      <c r="J33" s="304"/>
      <c r="K33" s="306"/>
      <c r="L33" s="100"/>
      <c r="M33" s="100"/>
      <c r="N33" s="100"/>
      <c r="O33" s="100"/>
      <c r="P33" s="100"/>
      <c r="Q33" s="100"/>
      <c r="R33" s="100"/>
      <c r="S33" s="100"/>
      <c r="T33" s="100"/>
      <c r="U33" s="301"/>
      <c r="V33" s="302"/>
      <c r="W33" s="302"/>
      <c r="X33" s="303"/>
      <c r="Y33" s="98"/>
      <c r="Z33" s="106">
        <f t="shared" si="0"/>
        <v>0</v>
      </c>
      <c r="AA33" s="105">
        <f t="shared" si="1"/>
        <v>0</v>
      </c>
      <c r="AB33" s="105">
        <f t="shared" si="2"/>
        <v>0</v>
      </c>
    </row>
    <row r="34" spans="1:28" x14ac:dyDescent="0.15">
      <c r="A34" s="101"/>
      <c r="B34" s="99">
        <f t="shared" si="3"/>
        <v>27</v>
      </c>
      <c r="C34" s="301"/>
      <c r="D34" s="302"/>
      <c r="E34" s="302"/>
      <c r="F34" s="303"/>
      <c r="G34" s="304"/>
      <c r="H34" s="305"/>
      <c r="I34" s="306"/>
      <c r="J34" s="304"/>
      <c r="K34" s="306"/>
      <c r="L34" s="100"/>
      <c r="M34" s="100"/>
      <c r="N34" s="100"/>
      <c r="O34" s="100"/>
      <c r="P34" s="100"/>
      <c r="Q34" s="100"/>
      <c r="R34" s="100"/>
      <c r="S34" s="100"/>
      <c r="T34" s="100"/>
      <c r="U34" s="301"/>
      <c r="V34" s="302"/>
      <c r="W34" s="302"/>
      <c r="X34" s="303"/>
      <c r="Y34" s="98"/>
      <c r="Z34" s="106">
        <f t="shared" si="0"/>
        <v>0</v>
      </c>
      <c r="AA34" s="105">
        <f t="shared" si="1"/>
        <v>0</v>
      </c>
      <c r="AB34" s="105">
        <f t="shared" si="2"/>
        <v>0</v>
      </c>
    </row>
    <row r="35" spans="1:28" x14ac:dyDescent="0.15">
      <c r="A35" s="101"/>
      <c r="B35" s="99">
        <f t="shared" si="3"/>
        <v>28</v>
      </c>
      <c r="C35" s="301"/>
      <c r="D35" s="302"/>
      <c r="E35" s="302"/>
      <c r="F35" s="303"/>
      <c r="G35" s="304"/>
      <c r="H35" s="305"/>
      <c r="I35" s="306"/>
      <c r="J35" s="304"/>
      <c r="K35" s="306"/>
      <c r="L35" s="100"/>
      <c r="M35" s="100"/>
      <c r="N35" s="100"/>
      <c r="O35" s="100"/>
      <c r="P35" s="100"/>
      <c r="Q35" s="100"/>
      <c r="R35" s="100"/>
      <c r="S35" s="100"/>
      <c r="T35" s="100"/>
      <c r="U35" s="301"/>
      <c r="V35" s="302"/>
      <c r="W35" s="302"/>
      <c r="X35" s="303"/>
      <c r="Y35" s="98"/>
      <c r="Z35" s="106">
        <f t="shared" si="0"/>
        <v>0</v>
      </c>
      <c r="AA35" s="105">
        <f t="shared" si="1"/>
        <v>0</v>
      </c>
      <c r="AB35" s="105">
        <f t="shared" si="2"/>
        <v>0</v>
      </c>
    </row>
    <row r="36" spans="1:28" x14ac:dyDescent="0.15">
      <c r="A36" s="101"/>
      <c r="B36" s="99">
        <f t="shared" si="3"/>
        <v>29</v>
      </c>
      <c r="C36" s="301"/>
      <c r="D36" s="302"/>
      <c r="E36" s="302"/>
      <c r="F36" s="303"/>
      <c r="G36" s="304"/>
      <c r="H36" s="305"/>
      <c r="I36" s="306"/>
      <c r="J36" s="304"/>
      <c r="K36" s="306"/>
      <c r="L36" s="100"/>
      <c r="M36" s="100"/>
      <c r="N36" s="100"/>
      <c r="O36" s="100"/>
      <c r="P36" s="100"/>
      <c r="Q36" s="100"/>
      <c r="R36" s="100"/>
      <c r="S36" s="100"/>
      <c r="T36" s="100"/>
      <c r="U36" s="301"/>
      <c r="V36" s="302"/>
      <c r="W36" s="302"/>
      <c r="X36" s="303"/>
      <c r="Y36" s="98"/>
      <c r="Z36" s="106">
        <f t="shared" si="0"/>
        <v>0</v>
      </c>
      <c r="AA36" s="105">
        <f t="shared" si="1"/>
        <v>0</v>
      </c>
      <c r="AB36" s="105">
        <f t="shared" si="2"/>
        <v>0</v>
      </c>
    </row>
    <row r="37" spans="1:28" x14ac:dyDescent="0.15">
      <c r="A37" s="101"/>
      <c r="B37" s="99">
        <f t="shared" si="3"/>
        <v>30</v>
      </c>
      <c r="C37" s="301"/>
      <c r="D37" s="302"/>
      <c r="E37" s="302"/>
      <c r="F37" s="303"/>
      <c r="G37" s="304"/>
      <c r="H37" s="305"/>
      <c r="I37" s="306"/>
      <c r="J37" s="304"/>
      <c r="K37" s="306"/>
      <c r="L37" s="100"/>
      <c r="M37" s="100"/>
      <c r="N37" s="100"/>
      <c r="O37" s="100"/>
      <c r="P37" s="100"/>
      <c r="Q37" s="100"/>
      <c r="R37" s="100"/>
      <c r="S37" s="100"/>
      <c r="T37" s="100"/>
      <c r="U37" s="301"/>
      <c r="V37" s="302"/>
      <c r="W37" s="302"/>
      <c r="X37" s="303"/>
      <c r="Y37" s="98"/>
      <c r="Z37" s="106">
        <f t="shared" si="0"/>
        <v>0</v>
      </c>
      <c r="AA37" s="105">
        <f t="shared" si="1"/>
        <v>0</v>
      </c>
      <c r="AB37" s="105">
        <f t="shared" si="2"/>
        <v>0</v>
      </c>
    </row>
    <row r="38" spans="1:28" x14ac:dyDescent="0.15">
      <c r="A38" s="101"/>
      <c r="B38" s="298" t="s">
        <v>122</v>
      </c>
      <c r="C38" s="299"/>
      <c r="D38" s="299"/>
      <c r="E38" s="299"/>
      <c r="F38" s="299"/>
      <c r="G38" s="299"/>
      <c r="H38" s="299"/>
      <c r="I38" s="299"/>
      <c r="J38" s="299"/>
      <c r="K38" s="299"/>
      <c r="L38" s="299"/>
      <c r="M38" s="299"/>
      <c r="N38" s="299"/>
      <c r="O38" s="299"/>
      <c r="P38" s="299"/>
      <c r="Q38" s="299"/>
      <c r="R38" s="299"/>
      <c r="S38" s="299"/>
      <c r="T38" s="299"/>
      <c r="U38" s="299"/>
      <c r="V38" s="299"/>
      <c r="W38" s="299"/>
      <c r="X38" s="300"/>
      <c r="Y38" s="98"/>
      <c r="Z38" s="92"/>
    </row>
    <row r="39" spans="1:28" x14ac:dyDescent="0.15">
      <c r="A39" s="101"/>
      <c r="B39" s="101"/>
      <c r="C39" s="92"/>
      <c r="D39" s="92"/>
      <c r="E39" s="92"/>
      <c r="F39" s="92"/>
      <c r="G39" s="92"/>
      <c r="H39" s="92"/>
      <c r="I39" s="92"/>
      <c r="J39" s="92"/>
      <c r="K39" s="92"/>
      <c r="L39" s="92"/>
      <c r="M39" s="92"/>
      <c r="N39" s="92"/>
      <c r="O39" s="92"/>
      <c r="P39" s="92"/>
      <c r="Q39" s="92"/>
      <c r="R39" s="92"/>
      <c r="S39" s="92"/>
      <c r="T39" s="92"/>
      <c r="U39" s="92"/>
      <c r="V39" s="92"/>
      <c r="W39" s="92"/>
      <c r="X39" s="98"/>
      <c r="Y39" s="98"/>
      <c r="Z39" s="92"/>
    </row>
    <row r="40" spans="1:28" x14ac:dyDescent="0.15">
      <c r="A40" s="101"/>
      <c r="B40" s="101" t="s">
        <v>278</v>
      </c>
      <c r="C40" s="92"/>
      <c r="D40" s="92"/>
      <c r="E40" s="92"/>
      <c r="F40" s="92"/>
      <c r="G40" s="92"/>
      <c r="H40" s="92"/>
      <c r="I40" s="92"/>
      <c r="J40" s="92"/>
      <c r="K40" s="92"/>
      <c r="L40" s="92"/>
      <c r="M40" s="92"/>
      <c r="N40" s="92"/>
      <c r="O40" s="92"/>
      <c r="P40" s="92"/>
      <c r="Q40" s="92"/>
      <c r="R40" s="92"/>
      <c r="S40" s="92"/>
      <c r="T40" s="92"/>
      <c r="U40" s="92"/>
      <c r="V40" s="92"/>
      <c r="W40" s="92"/>
      <c r="X40" s="98"/>
      <c r="Y40" s="98"/>
      <c r="Z40" s="92"/>
    </row>
    <row r="41" spans="1:28" x14ac:dyDescent="0.15">
      <c r="A41" s="101"/>
      <c r="B41" s="101" t="s">
        <v>279</v>
      </c>
      <c r="C41" s="92"/>
      <c r="D41" s="92"/>
      <c r="E41" s="92"/>
      <c r="F41" s="92"/>
      <c r="G41" s="92"/>
      <c r="H41" s="92"/>
      <c r="I41" s="92"/>
      <c r="J41" s="92"/>
      <c r="K41" s="92"/>
      <c r="L41" s="92"/>
      <c r="M41" s="92"/>
      <c r="N41" s="92"/>
      <c r="O41" s="92"/>
      <c r="P41" s="92"/>
      <c r="Q41" s="92"/>
      <c r="R41" s="92"/>
      <c r="S41" s="92"/>
      <c r="T41" s="92"/>
      <c r="U41" s="92"/>
      <c r="V41" s="92"/>
      <c r="W41" s="92"/>
      <c r="X41" s="98"/>
      <c r="Y41" s="98"/>
      <c r="Z41" s="92"/>
    </row>
    <row r="42" spans="1:28" x14ac:dyDescent="0.15">
      <c r="A42" s="101"/>
      <c r="B42" s="102"/>
      <c r="C42" s="93"/>
      <c r="D42" s="93"/>
      <c r="E42" s="93"/>
      <c r="F42" s="93"/>
      <c r="G42" s="93"/>
      <c r="H42" s="93"/>
      <c r="I42" s="93"/>
      <c r="J42" s="93"/>
      <c r="K42" s="93"/>
      <c r="L42" s="93"/>
      <c r="M42" s="93"/>
      <c r="N42" s="93"/>
      <c r="O42" s="93"/>
      <c r="P42" s="93"/>
      <c r="Q42" s="93"/>
      <c r="R42" s="93"/>
      <c r="S42" s="93"/>
      <c r="T42" s="93"/>
      <c r="U42" s="93"/>
      <c r="V42" s="93"/>
      <c r="W42" s="93"/>
      <c r="X42" s="103"/>
      <c r="Y42" s="98"/>
      <c r="Z42" s="92"/>
    </row>
    <row r="43" spans="1:28" x14ac:dyDescent="0.15">
      <c r="A43" s="102"/>
      <c r="B43" s="93"/>
      <c r="C43" s="93"/>
      <c r="D43" s="93"/>
      <c r="E43" s="93"/>
      <c r="F43" s="93"/>
      <c r="G43" s="93"/>
      <c r="H43" s="93"/>
      <c r="I43" s="93"/>
      <c r="J43" s="93"/>
      <c r="K43" s="93"/>
      <c r="L43" s="93"/>
      <c r="M43" s="93"/>
      <c r="N43" s="93"/>
      <c r="O43" s="93"/>
      <c r="P43" s="93"/>
      <c r="Q43" s="93"/>
      <c r="R43" s="93"/>
      <c r="S43" s="93"/>
      <c r="T43" s="93"/>
      <c r="U43" s="93"/>
      <c r="V43" s="93"/>
      <c r="W43" s="93"/>
      <c r="X43" s="93"/>
      <c r="Y43" s="103"/>
      <c r="Z43" s="92"/>
    </row>
  </sheetData>
  <mergeCells count="138">
    <mergeCell ref="W2:Y3"/>
    <mergeCell ref="A3:B3"/>
    <mergeCell ref="G3:I3"/>
    <mergeCell ref="C7:F7"/>
    <mergeCell ref="G7:I7"/>
    <mergeCell ref="J7:K7"/>
    <mergeCell ref="U7:X7"/>
    <mergeCell ref="A1:F2"/>
    <mergeCell ref="G1:I1"/>
    <mergeCell ref="P1:Q1"/>
    <mergeCell ref="R1:T1"/>
    <mergeCell ref="U1:V1"/>
    <mergeCell ref="W1:Y1"/>
    <mergeCell ref="G2:I2"/>
    <mergeCell ref="P2:Q3"/>
    <mergeCell ref="R2:T3"/>
    <mergeCell ref="U2:V3"/>
    <mergeCell ref="C10:F10"/>
    <mergeCell ref="G10:I10"/>
    <mergeCell ref="J10:K10"/>
    <mergeCell ref="U10:X10"/>
    <mergeCell ref="C11:F11"/>
    <mergeCell ref="G11:I11"/>
    <mergeCell ref="J11:K11"/>
    <mergeCell ref="U11:X11"/>
    <mergeCell ref="C8:F8"/>
    <mergeCell ref="G8:I8"/>
    <mergeCell ref="J8:K8"/>
    <mergeCell ref="U8:X8"/>
    <mergeCell ref="C9:F9"/>
    <mergeCell ref="G9:I9"/>
    <mergeCell ref="J9:K9"/>
    <mergeCell ref="U9:X9"/>
    <mergeCell ref="C14:F14"/>
    <mergeCell ref="G14:I14"/>
    <mergeCell ref="J14:K14"/>
    <mergeCell ref="U14:X14"/>
    <mergeCell ref="C15:F15"/>
    <mergeCell ref="G15:I15"/>
    <mergeCell ref="J15:K15"/>
    <mergeCell ref="U15:X15"/>
    <mergeCell ref="C12:F12"/>
    <mergeCell ref="G12:I12"/>
    <mergeCell ref="J12:K12"/>
    <mergeCell ref="U12:X12"/>
    <mergeCell ref="C13:F13"/>
    <mergeCell ref="G13:I13"/>
    <mergeCell ref="J13:K13"/>
    <mergeCell ref="U13:X13"/>
    <mergeCell ref="C18:F18"/>
    <mergeCell ref="G18:I18"/>
    <mergeCell ref="J18:K18"/>
    <mergeCell ref="U18:X18"/>
    <mergeCell ref="C19:F19"/>
    <mergeCell ref="G19:I19"/>
    <mergeCell ref="J19:K19"/>
    <mergeCell ref="U19:X19"/>
    <mergeCell ref="C16:F16"/>
    <mergeCell ref="G16:I16"/>
    <mergeCell ref="J16:K16"/>
    <mergeCell ref="U16:X16"/>
    <mergeCell ref="C17:F17"/>
    <mergeCell ref="G17:I17"/>
    <mergeCell ref="J17:K17"/>
    <mergeCell ref="U17:X17"/>
    <mergeCell ref="C22:F22"/>
    <mergeCell ref="G22:I22"/>
    <mergeCell ref="J22:K22"/>
    <mergeCell ref="U22:X22"/>
    <mergeCell ref="C23:F23"/>
    <mergeCell ref="G23:I23"/>
    <mergeCell ref="J23:K23"/>
    <mergeCell ref="U23:X23"/>
    <mergeCell ref="C20:F20"/>
    <mergeCell ref="G20:I20"/>
    <mergeCell ref="J20:K20"/>
    <mergeCell ref="U20:X20"/>
    <mergeCell ref="C21:F21"/>
    <mergeCell ref="G21:I21"/>
    <mergeCell ref="J21:K21"/>
    <mergeCell ref="U21:X21"/>
    <mergeCell ref="C26:F26"/>
    <mergeCell ref="G26:I26"/>
    <mergeCell ref="J26:K26"/>
    <mergeCell ref="U26:X26"/>
    <mergeCell ref="C27:F27"/>
    <mergeCell ref="G27:I27"/>
    <mergeCell ref="J27:K27"/>
    <mergeCell ref="U27:X27"/>
    <mergeCell ref="C24:F24"/>
    <mergeCell ref="G24:I24"/>
    <mergeCell ref="J24:K24"/>
    <mergeCell ref="U24:X24"/>
    <mergeCell ref="C25:F25"/>
    <mergeCell ref="G25:I25"/>
    <mergeCell ref="J25:K25"/>
    <mergeCell ref="U25:X25"/>
    <mergeCell ref="C30:F30"/>
    <mergeCell ref="G30:I30"/>
    <mergeCell ref="J30:K30"/>
    <mergeCell ref="U30:X30"/>
    <mergeCell ref="C31:F31"/>
    <mergeCell ref="G31:I31"/>
    <mergeCell ref="J31:K31"/>
    <mergeCell ref="U31:X31"/>
    <mergeCell ref="C28:F28"/>
    <mergeCell ref="G28:I28"/>
    <mergeCell ref="J28:K28"/>
    <mergeCell ref="U28:X28"/>
    <mergeCell ref="C29:F29"/>
    <mergeCell ref="G29:I29"/>
    <mergeCell ref="J29:K29"/>
    <mergeCell ref="U29:X29"/>
    <mergeCell ref="C34:F34"/>
    <mergeCell ref="G34:I34"/>
    <mergeCell ref="J34:K34"/>
    <mergeCell ref="U34:X34"/>
    <mergeCell ref="C35:F35"/>
    <mergeCell ref="G35:I35"/>
    <mergeCell ref="J35:K35"/>
    <mergeCell ref="U35:X35"/>
    <mergeCell ref="C32:F32"/>
    <mergeCell ref="G32:I32"/>
    <mergeCell ref="J32:K32"/>
    <mergeCell ref="U32:X32"/>
    <mergeCell ref="C33:F33"/>
    <mergeCell ref="G33:I33"/>
    <mergeCell ref="J33:K33"/>
    <mergeCell ref="U33:X33"/>
    <mergeCell ref="B38:X38"/>
    <mergeCell ref="C36:F36"/>
    <mergeCell ref="G36:I36"/>
    <mergeCell ref="J36:K36"/>
    <mergeCell ref="U36:X36"/>
    <mergeCell ref="C37:F37"/>
    <mergeCell ref="G37:I37"/>
    <mergeCell ref="J37:K37"/>
    <mergeCell ref="U37:X37"/>
  </mergeCells>
  <phoneticPr fontId="1"/>
  <conditionalFormatting sqref="J8:K8">
    <cfRule type="expression" dxfId="548" priority="100">
      <formula>ISERROR(AB8)</formula>
    </cfRule>
    <cfRule type="expression" dxfId="547" priority="101">
      <formula>ISBLANK(AB8)</formula>
    </cfRule>
    <cfRule type="expression" dxfId="546" priority="102">
      <formula>AND(J8&lt;&gt;"",AB8&lt;=0)</formula>
    </cfRule>
  </conditionalFormatting>
  <conditionalFormatting sqref="J19:K21 J30:K37">
    <cfRule type="expression" dxfId="545" priority="109">
      <formula>ISERROR(AB19)</formula>
    </cfRule>
    <cfRule type="expression" dxfId="544" priority="110">
      <formula>ISBLANK(AB19)</formula>
    </cfRule>
    <cfRule type="expression" dxfId="543" priority="111">
      <formula>AND(J19&lt;&gt;"",AB19&lt;=0)</formula>
    </cfRule>
  </conditionalFormatting>
  <conditionalFormatting sqref="J25:K26">
    <cfRule type="expression" dxfId="542" priority="64">
      <formula>ISERROR(AB25)</formula>
    </cfRule>
    <cfRule type="expression" dxfId="541" priority="65">
      <formula>ISBLANK(AB25)</formula>
    </cfRule>
    <cfRule type="expression" dxfId="540" priority="66">
      <formula>AND(J25&lt;&gt;"",AB25&lt;=0)</formula>
    </cfRule>
  </conditionalFormatting>
  <conditionalFormatting sqref="J15:K15">
    <cfRule type="expression" dxfId="539" priority="40">
      <formula>ISERROR(AB15)</formula>
    </cfRule>
    <cfRule type="expression" dxfId="538" priority="41">
      <formula>ISBLANK(AB15)</formula>
    </cfRule>
    <cfRule type="expression" dxfId="537" priority="42">
      <formula>AND(J15&lt;&gt;"",AB15&lt;=0)</formula>
    </cfRule>
  </conditionalFormatting>
  <conditionalFormatting sqref="J29:K29">
    <cfRule type="expression" dxfId="536" priority="55">
      <formula>ISERROR(AB29)</formula>
    </cfRule>
    <cfRule type="expression" dxfId="535" priority="56">
      <formula>ISBLANK(AB29)</formula>
    </cfRule>
    <cfRule type="expression" dxfId="534" priority="57">
      <formula>AND(J29&lt;&gt;"",AB29&lt;=0)</formula>
    </cfRule>
  </conditionalFormatting>
  <conditionalFormatting sqref="J18:K18">
    <cfRule type="expression" dxfId="533" priority="94">
      <formula>ISERROR(AB18)</formula>
    </cfRule>
    <cfRule type="expression" dxfId="532" priority="95">
      <formula>ISBLANK(AB18)</formula>
    </cfRule>
    <cfRule type="expression" dxfId="531" priority="96">
      <formula>AND(J18&lt;&gt;"",AB18&lt;=0)</formula>
    </cfRule>
  </conditionalFormatting>
  <conditionalFormatting sqref="J23:K24">
    <cfRule type="expression" dxfId="530" priority="70">
      <formula>ISERROR(AB23)</formula>
    </cfRule>
    <cfRule type="expression" dxfId="529" priority="71">
      <formula>ISBLANK(AB23)</formula>
    </cfRule>
    <cfRule type="expression" dxfId="528" priority="72">
      <formula>AND(J23&lt;&gt;"",AB23&lt;=0)</formula>
    </cfRule>
  </conditionalFormatting>
  <conditionalFormatting sqref="J17:K17">
    <cfRule type="expression" dxfId="527" priority="34">
      <formula>ISERROR(AB17)</formula>
    </cfRule>
    <cfRule type="expression" dxfId="526" priority="35">
      <formula>ISBLANK(AB17)</formula>
    </cfRule>
    <cfRule type="expression" dxfId="525" priority="36">
      <formula>AND(J17&lt;&gt;"",AB17&lt;=0)</formula>
    </cfRule>
  </conditionalFormatting>
  <conditionalFormatting sqref="J28:K28">
    <cfRule type="expression" dxfId="524" priority="58">
      <formula>ISERROR(AB28)</formula>
    </cfRule>
    <cfRule type="expression" dxfId="523" priority="59">
      <formula>ISBLANK(AB28)</formula>
    </cfRule>
    <cfRule type="expression" dxfId="522" priority="60">
      <formula>AND(J28&lt;&gt;"",AB28&lt;=0)</formula>
    </cfRule>
  </conditionalFormatting>
  <conditionalFormatting sqref="J11:K11">
    <cfRule type="expression" dxfId="521" priority="22">
      <formula>ISERROR(AB11)</formula>
    </cfRule>
    <cfRule type="expression" dxfId="520" priority="23">
      <formula>ISBLANK(AB11)</formula>
    </cfRule>
    <cfRule type="expression" dxfId="519" priority="24">
      <formula>AND(J11&lt;&gt;"",AB11&lt;=0)</formula>
    </cfRule>
  </conditionalFormatting>
  <conditionalFormatting sqref="J22:K22">
    <cfRule type="expression" dxfId="518" priority="67">
      <formula>ISERROR(AB22)</formula>
    </cfRule>
    <cfRule type="expression" dxfId="517" priority="68">
      <formula>ISBLANK(AB22)</formula>
    </cfRule>
    <cfRule type="expression" dxfId="516" priority="69">
      <formula>AND(J22&lt;&gt;"",AB22&lt;=0)</formula>
    </cfRule>
  </conditionalFormatting>
  <conditionalFormatting sqref="J27:K27">
    <cfRule type="expression" dxfId="515" priority="61">
      <formula>ISERROR(AB27)</formula>
    </cfRule>
    <cfRule type="expression" dxfId="514" priority="62">
      <formula>ISBLANK(AB27)</formula>
    </cfRule>
    <cfRule type="expression" dxfId="513" priority="63">
      <formula>AND(J27&lt;&gt;"",AB27&lt;=0)</formula>
    </cfRule>
  </conditionalFormatting>
  <conditionalFormatting sqref="J12:K12">
    <cfRule type="expression" dxfId="512" priority="19">
      <formula>ISERROR(AB12)</formula>
    </cfRule>
    <cfRule type="expression" dxfId="511" priority="20">
      <formula>ISBLANK(AB12)</formula>
    </cfRule>
    <cfRule type="expression" dxfId="510" priority="21">
      <formula>AND(J12&lt;&gt;"",AB12&lt;=0)</formula>
    </cfRule>
  </conditionalFormatting>
  <conditionalFormatting sqref="J16:K16">
    <cfRule type="expression" dxfId="509" priority="31">
      <formula>ISERROR(AB16)</formula>
    </cfRule>
    <cfRule type="expression" dxfId="508" priority="32">
      <formula>ISBLANK(AB16)</formula>
    </cfRule>
    <cfRule type="expression" dxfId="507" priority="33">
      <formula>AND(J16&lt;&gt;"",AB16&lt;=0)</formula>
    </cfRule>
  </conditionalFormatting>
  <conditionalFormatting sqref="J13:K13">
    <cfRule type="expression" dxfId="506" priority="7">
      <formula>ISERROR(AB13)</formula>
    </cfRule>
    <cfRule type="expression" dxfId="505" priority="8">
      <formula>ISBLANK(AB13)</formula>
    </cfRule>
    <cfRule type="expression" dxfId="504" priority="9">
      <formula>AND(J13&lt;&gt;"",AB13&lt;=0)</formula>
    </cfRule>
  </conditionalFormatting>
  <conditionalFormatting sqref="J10:K10">
    <cfRule type="expression" dxfId="503" priority="1">
      <formula>ISERROR(AB10)</formula>
    </cfRule>
    <cfRule type="expression" dxfId="502" priority="2">
      <formula>ISBLANK(AB10)</formula>
    </cfRule>
    <cfRule type="expression" dxfId="501" priority="3">
      <formula>AND(J10&lt;&gt;"",AB10&lt;=0)</formula>
    </cfRule>
  </conditionalFormatting>
  <conditionalFormatting sqref="J14:K14">
    <cfRule type="expression" dxfId="500" priority="10">
      <formula>ISERROR(AB14)</formula>
    </cfRule>
    <cfRule type="expression" dxfId="499" priority="11">
      <formula>ISBLANK(AB14)</formula>
    </cfRule>
    <cfRule type="expression" dxfId="498" priority="12">
      <formula>AND(J14&lt;&gt;"",AB14&lt;=0)</formula>
    </cfRule>
  </conditionalFormatting>
  <conditionalFormatting sqref="J9:K9">
    <cfRule type="expression" dxfId="497" priority="4">
      <formula>ISERROR(AB9)</formula>
    </cfRule>
    <cfRule type="expression" dxfId="496" priority="5">
      <formula>ISBLANK(AB9)</formula>
    </cfRule>
    <cfRule type="expression" dxfId="495" priority="6">
      <formula>AND(J9&lt;&gt;"",AB9&lt;=0)</formula>
    </cfRule>
  </conditionalFormatting>
  <printOptions horizontalCentered="1"/>
  <pageMargins left="0.23622047244094491" right="0.23622047244094491" top="0.39370078740157483" bottom="0.39370078740157483" header="0" footer="0"/>
  <pageSetup paperSize="9" fitToHeight="0" orientation="landscape" r:id="rId1"/>
  <headerFooter alignWithMargins="0">
    <oddFooter>&amp;L&amp;F&amp;R&amp;P / &amp;N</oddFooter>
  </headerFooter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78709E-D3A3-4A74-AC20-9DECC9351323}">
  <sheetPr codeName="Sheet21"/>
  <dimension ref="A1:AE43"/>
  <sheetViews>
    <sheetView showGridLines="0" view="pageBreakPreview" zoomScaleNormal="85" zoomScaleSheetLayoutView="100" workbookViewId="0">
      <selection activeCell="B43" sqref="B43"/>
    </sheetView>
  </sheetViews>
  <sheetFormatPr defaultColWidth="5.625" defaultRowHeight="13.5" x14ac:dyDescent="0.15"/>
  <cols>
    <col min="1" max="16" width="5.625" style="12" customWidth="1"/>
    <col min="17" max="25" width="5.625" style="12"/>
    <col min="26" max="26" width="12.75" style="96" bestFit="1" customWidth="1"/>
    <col min="27" max="27" width="12.75" style="12" bestFit="1" customWidth="1"/>
    <col min="28" max="28" width="18.375" style="12" bestFit="1" customWidth="1"/>
    <col min="29" max="238" width="5.625" style="12"/>
    <col min="239" max="254" width="5.625" style="12" customWidth="1"/>
    <col min="255" max="494" width="5.625" style="12"/>
    <col min="495" max="510" width="5.625" style="12" customWidth="1"/>
    <col min="511" max="750" width="5.625" style="12"/>
    <col min="751" max="766" width="5.625" style="12" customWidth="1"/>
    <col min="767" max="1006" width="5.625" style="12"/>
    <col min="1007" max="1022" width="5.625" style="12" customWidth="1"/>
    <col min="1023" max="1262" width="5.625" style="12"/>
    <col min="1263" max="1278" width="5.625" style="12" customWidth="1"/>
    <col min="1279" max="1518" width="5.625" style="12"/>
    <col min="1519" max="1534" width="5.625" style="12" customWidth="1"/>
    <col min="1535" max="1774" width="5.625" style="12"/>
    <col min="1775" max="1790" width="5.625" style="12" customWidth="1"/>
    <col min="1791" max="2030" width="5.625" style="12"/>
    <col min="2031" max="2046" width="5.625" style="12" customWidth="1"/>
    <col min="2047" max="2286" width="5.625" style="12"/>
    <col min="2287" max="2302" width="5.625" style="12" customWidth="1"/>
    <col min="2303" max="2542" width="5.625" style="12"/>
    <col min="2543" max="2558" width="5.625" style="12" customWidth="1"/>
    <col min="2559" max="2798" width="5.625" style="12"/>
    <col min="2799" max="2814" width="5.625" style="12" customWidth="1"/>
    <col min="2815" max="3054" width="5.625" style="12"/>
    <col min="3055" max="3070" width="5.625" style="12" customWidth="1"/>
    <col min="3071" max="3310" width="5.625" style="12"/>
    <col min="3311" max="3326" width="5.625" style="12" customWidth="1"/>
    <col min="3327" max="3566" width="5.625" style="12"/>
    <col min="3567" max="3582" width="5.625" style="12" customWidth="1"/>
    <col min="3583" max="3822" width="5.625" style="12"/>
    <col min="3823" max="3838" width="5.625" style="12" customWidth="1"/>
    <col min="3839" max="4078" width="5.625" style="12"/>
    <col min="4079" max="4094" width="5.625" style="12" customWidth="1"/>
    <col min="4095" max="4334" width="5.625" style="12"/>
    <col min="4335" max="4350" width="5.625" style="12" customWidth="1"/>
    <col min="4351" max="4590" width="5.625" style="12"/>
    <col min="4591" max="4606" width="5.625" style="12" customWidth="1"/>
    <col min="4607" max="4846" width="5.625" style="12"/>
    <col min="4847" max="4862" width="5.625" style="12" customWidth="1"/>
    <col min="4863" max="5102" width="5.625" style="12"/>
    <col min="5103" max="5118" width="5.625" style="12" customWidth="1"/>
    <col min="5119" max="5358" width="5.625" style="12"/>
    <col min="5359" max="5374" width="5.625" style="12" customWidth="1"/>
    <col min="5375" max="5614" width="5.625" style="12"/>
    <col min="5615" max="5630" width="5.625" style="12" customWidth="1"/>
    <col min="5631" max="5870" width="5.625" style="12"/>
    <col min="5871" max="5886" width="5.625" style="12" customWidth="1"/>
    <col min="5887" max="6126" width="5.625" style="12"/>
    <col min="6127" max="6142" width="5.625" style="12" customWidth="1"/>
    <col min="6143" max="6382" width="5.625" style="12"/>
    <col min="6383" max="6398" width="5.625" style="12" customWidth="1"/>
    <col min="6399" max="6638" width="5.625" style="12"/>
    <col min="6639" max="6654" width="5.625" style="12" customWidth="1"/>
    <col min="6655" max="6894" width="5.625" style="12"/>
    <col min="6895" max="6910" width="5.625" style="12" customWidth="1"/>
    <col min="6911" max="7150" width="5.625" style="12"/>
    <col min="7151" max="7166" width="5.625" style="12" customWidth="1"/>
    <col min="7167" max="7406" width="5.625" style="12"/>
    <col min="7407" max="7422" width="5.625" style="12" customWidth="1"/>
    <col min="7423" max="7662" width="5.625" style="12"/>
    <col min="7663" max="7678" width="5.625" style="12" customWidth="1"/>
    <col min="7679" max="7918" width="5.625" style="12"/>
    <col min="7919" max="7934" width="5.625" style="12" customWidth="1"/>
    <col min="7935" max="8174" width="5.625" style="12"/>
    <col min="8175" max="8190" width="5.625" style="12" customWidth="1"/>
    <col min="8191" max="8430" width="5.625" style="12"/>
    <col min="8431" max="8446" width="5.625" style="12" customWidth="1"/>
    <col min="8447" max="8686" width="5.625" style="12"/>
    <col min="8687" max="8702" width="5.625" style="12" customWidth="1"/>
    <col min="8703" max="8942" width="5.625" style="12"/>
    <col min="8943" max="8958" width="5.625" style="12" customWidth="1"/>
    <col min="8959" max="9198" width="5.625" style="12"/>
    <col min="9199" max="9214" width="5.625" style="12" customWidth="1"/>
    <col min="9215" max="9454" width="5.625" style="12"/>
    <col min="9455" max="9470" width="5.625" style="12" customWidth="1"/>
    <col min="9471" max="9710" width="5.625" style="12"/>
    <col min="9711" max="9726" width="5.625" style="12" customWidth="1"/>
    <col min="9727" max="9966" width="5.625" style="12"/>
    <col min="9967" max="9982" width="5.625" style="12" customWidth="1"/>
    <col min="9983" max="10222" width="5.625" style="12"/>
    <col min="10223" max="10238" width="5.625" style="12" customWidth="1"/>
    <col min="10239" max="10478" width="5.625" style="12"/>
    <col min="10479" max="10494" width="5.625" style="12" customWidth="1"/>
    <col min="10495" max="10734" width="5.625" style="12"/>
    <col min="10735" max="10750" width="5.625" style="12" customWidth="1"/>
    <col min="10751" max="10990" width="5.625" style="12"/>
    <col min="10991" max="11006" width="5.625" style="12" customWidth="1"/>
    <col min="11007" max="11246" width="5.625" style="12"/>
    <col min="11247" max="11262" width="5.625" style="12" customWidth="1"/>
    <col min="11263" max="11502" width="5.625" style="12"/>
    <col min="11503" max="11518" width="5.625" style="12" customWidth="1"/>
    <col min="11519" max="11758" width="5.625" style="12"/>
    <col min="11759" max="11774" width="5.625" style="12" customWidth="1"/>
    <col min="11775" max="12014" width="5.625" style="12"/>
    <col min="12015" max="12030" width="5.625" style="12" customWidth="1"/>
    <col min="12031" max="12270" width="5.625" style="12"/>
    <col min="12271" max="12286" width="5.625" style="12" customWidth="1"/>
    <col min="12287" max="12526" width="5.625" style="12"/>
    <col min="12527" max="12542" width="5.625" style="12" customWidth="1"/>
    <col min="12543" max="12782" width="5.625" style="12"/>
    <col min="12783" max="12798" width="5.625" style="12" customWidth="1"/>
    <col min="12799" max="13038" width="5.625" style="12"/>
    <col min="13039" max="13054" width="5.625" style="12" customWidth="1"/>
    <col min="13055" max="13294" width="5.625" style="12"/>
    <col min="13295" max="13310" width="5.625" style="12" customWidth="1"/>
    <col min="13311" max="13550" width="5.625" style="12"/>
    <col min="13551" max="13566" width="5.625" style="12" customWidth="1"/>
    <col min="13567" max="13806" width="5.625" style="12"/>
    <col min="13807" max="13822" width="5.625" style="12" customWidth="1"/>
    <col min="13823" max="14062" width="5.625" style="12"/>
    <col min="14063" max="14078" width="5.625" style="12" customWidth="1"/>
    <col min="14079" max="14318" width="5.625" style="12"/>
    <col min="14319" max="14334" width="5.625" style="12" customWidth="1"/>
    <col min="14335" max="14574" width="5.625" style="12"/>
    <col min="14575" max="14590" width="5.625" style="12" customWidth="1"/>
    <col min="14591" max="14830" width="5.625" style="12"/>
    <col min="14831" max="14846" width="5.625" style="12" customWidth="1"/>
    <col min="14847" max="15086" width="5.625" style="12"/>
    <col min="15087" max="15102" width="5.625" style="12" customWidth="1"/>
    <col min="15103" max="15342" width="5.625" style="12"/>
    <col min="15343" max="15358" width="5.625" style="12" customWidth="1"/>
    <col min="15359" max="15598" width="5.625" style="12"/>
    <col min="15599" max="15614" width="5.625" style="12" customWidth="1"/>
    <col min="15615" max="15854" width="5.625" style="12"/>
    <col min="15855" max="15870" width="5.625" style="12" customWidth="1"/>
    <col min="15871" max="16110" width="5.625" style="12"/>
    <col min="16111" max="16126" width="5.625" style="12" customWidth="1"/>
    <col min="16127" max="16384" width="5.625" style="12"/>
  </cols>
  <sheetData>
    <row r="1" spans="1:31" ht="13.5" customHeight="1" x14ac:dyDescent="0.15">
      <c r="A1" s="260" t="s">
        <v>81</v>
      </c>
      <c r="B1" s="261"/>
      <c r="C1" s="261"/>
      <c r="D1" s="261"/>
      <c r="E1" s="261"/>
      <c r="F1" s="262"/>
      <c r="G1" s="311" t="s">
        <v>5</v>
      </c>
      <c r="H1" s="312"/>
      <c r="I1" s="313"/>
      <c r="J1" s="21"/>
      <c r="K1" s="94"/>
      <c r="L1" s="94"/>
      <c r="M1" s="94"/>
      <c r="N1" s="94"/>
      <c r="O1" s="94"/>
      <c r="P1" s="311" t="s">
        <v>8</v>
      </c>
      <c r="Q1" s="313"/>
      <c r="R1" s="311" t="s">
        <v>7</v>
      </c>
      <c r="S1" s="312"/>
      <c r="T1" s="313"/>
      <c r="U1" s="311" t="s">
        <v>9</v>
      </c>
      <c r="V1" s="313"/>
      <c r="W1" s="311" t="s">
        <v>10</v>
      </c>
      <c r="X1" s="312"/>
      <c r="Y1" s="313"/>
      <c r="Z1" s="107"/>
      <c r="AA1" s="12" t="s">
        <v>128</v>
      </c>
      <c r="AE1" s="12" t="s">
        <v>124</v>
      </c>
    </row>
    <row r="2" spans="1:31" ht="13.5" customHeight="1" x14ac:dyDescent="0.15">
      <c r="A2" s="266"/>
      <c r="B2" s="267"/>
      <c r="C2" s="267"/>
      <c r="D2" s="267"/>
      <c r="E2" s="267"/>
      <c r="F2" s="268"/>
      <c r="G2" s="311" t="s">
        <v>6</v>
      </c>
      <c r="H2" s="312"/>
      <c r="I2" s="313"/>
      <c r="J2" s="21"/>
      <c r="K2" s="95"/>
      <c r="L2" s="95"/>
      <c r="M2" s="95"/>
      <c r="N2" s="95"/>
      <c r="O2" s="95"/>
      <c r="P2" s="246"/>
      <c r="Q2" s="247"/>
      <c r="R2" s="273"/>
      <c r="S2" s="274"/>
      <c r="T2" s="275"/>
      <c r="U2" s="246"/>
      <c r="V2" s="247"/>
      <c r="W2" s="273"/>
      <c r="X2" s="274"/>
      <c r="Y2" s="275"/>
      <c r="Z2" s="107"/>
      <c r="AA2" s="12">
        <f>SUM(AB:AB)</f>
        <v>24</v>
      </c>
    </row>
    <row r="3" spans="1:31" ht="13.5" customHeight="1" x14ac:dyDescent="0.15">
      <c r="A3" s="311" t="s">
        <v>82</v>
      </c>
      <c r="B3" s="312"/>
      <c r="C3" s="21" t="str">
        <f ca="1">RIGHT(CELL("filename",A2),LEN(CELL("filename",A2))-FIND("]",CELL("filename",A2)))</f>
        <v>ｴｽｶ緊急度</v>
      </c>
      <c r="D3" s="95"/>
      <c r="E3" s="95"/>
      <c r="F3" s="95"/>
      <c r="G3" s="311" t="s">
        <v>83</v>
      </c>
      <c r="H3" s="312"/>
      <c r="I3" s="313"/>
      <c r="J3" s="21" t="s">
        <v>239</v>
      </c>
      <c r="K3" s="95"/>
      <c r="L3" s="95"/>
      <c r="M3" s="95"/>
      <c r="N3" s="95"/>
      <c r="O3" s="95"/>
      <c r="P3" s="248"/>
      <c r="Q3" s="249"/>
      <c r="R3" s="276"/>
      <c r="S3" s="277"/>
      <c r="T3" s="278"/>
      <c r="U3" s="248"/>
      <c r="V3" s="249"/>
      <c r="W3" s="276"/>
      <c r="X3" s="277"/>
      <c r="Y3" s="278"/>
      <c r="Z3" s="107"/>
    </row>
    <row r="4" spans="1:31" x14ac:dyDescent="0.15">
      <c r="A4" s="86"/>
      <c r="B4" s="18"/>
      <c r="C4" s="18"/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  <c r="O4" s="18"/>
      <c r="P4" s="18"/>
      <c r="Q4" s="18"/>
      <c r="R4" s="18"/>
      <c r="S4" s="18"/>
      <c r="T4" s="18"/>
      <c r="U4" s="18"/>
      <c r="V4" s="18"/>
      <c r="W4" s="18"/>
      <c r="X4" s="18"/>
      <c r="Y4" s="18"/>
      <c r="Z4" s="92"/>
    </row>
    <row r="5" spans="1:31" ht="13.5" customHeight="1" x14ac:dyDescent="0.15">
      <c r="A5" s="83" t="s">
        <v>93</v>
      </c>
      <c r="B5" s="84"/>
      <c r="C5" s="84"/>
      <c r="D5" s="84"/>
      <c r="E5" s="84"/>
      <c r="F5" s="84"/>
      <c r="G5" s="84"/>
      <c r="H5" s="84"/>
      <c r="I5" s="84"/>
      <c r="J5" s="84"/>
      <c r="K5" s="84"/>
      <c r="L5" s="84"/>
      <c r="M5" s="84"/>
      <c r="N5" s="84"/>
      <c r="O5" s="84"/>
      <c r="P5" s="84"/>
      <c r="Q5" s="84"/>
      <c r="R5" s="84"/>
      <c r="S5" s="84"/>
      <c r="T5" s="84"/>
      <c r="U5" s="84"/>
      <c r="V5" s="84"/>
      <c r="W5" s="84"/>
      <c r="X5" s="84"/>
      <c r="Y5" s="85"/>
      <c r="Z5" s="92"/>
    </row>
    <row r="6" spans="1:31" x14ac:dyDescent="0.15">
      <c r="A6" s="175"/>
      <c r="B6" s="176"/>
      <c r="C6" s="176"/>
      <c r="D6" s="176"/>
      <c r="E6" s="176"/>
      <c r="F6" s="176"/>
      <c r="G6" s="176"/>
      <c r="H6" s="176"/>
      <c r="I6" s="176"/>
      <c r="J6" s="176"/>
      <c r="K6" s="176"/>
      <c r="L6" s="176"/>
      <c r="M6" s="176"/>
      <c r="N6" s="176"/>
      <c r="O6" s="176"/>
      <c r="P6" s="176"/>
      <c r="Q6" s="176"/>
      <c r="R6" s="176"/>
      <c r="S6" s="176"/>
      <c r="T6" s="176"/>
      <c r="U6" s="176"/>
      <c r="V6" s="176"/>
      <c r="W6" s="176"/>
      <c r="X6" s="176"/>
      <c r="Y6" s="177"/>
      <c r="Z6" s="92"/>
    </row>
    <row r="7" spans="1:31" x14ac:dyDescent="0.15">
      <c r="A7" s="17"/>
      <c r="B7" s="170" t="s">
        <v>84</v>
      </c>
      <c r="C7" s="311" t="s">
        <v>205</v>
      </c>
      <c r="D7" s="312"/>
      <c r="E7" s="312"/>
      <c r="F7" s="313"/>
      <c r="G7" s="311" t="s">
        <v>83</v>
      </c>
      <c r="H7" s="312"/>
      <c r="I7" s="313"/>
      <c r="J7" s="311" t="s">
        <v>85</v>
      </c>
      <c r="K7" s="313"/>
      <c r="L7" s="97" t="s">
        <v>86</v>
      </c>
      <c r="M7" s="97" t="s">
        <v>87</v>
      </c>
      <c r="N7" s="97" t="s">
        <v>121</v>
      </c>
      <c r="O7" s="97" t="s">
        <v>88</v>
      </c>
      <c r="P7" s="97" t="s">
        <v>89</v>
      </c>
      <c r="Q7" s="97" t="s">
        <v>89</v>
      </c>
      <c r="R7" s="97" t="s">
        <v>89</v>
      </c>
      <c r="S7" s="97" t="s">
        <v>89</v>
      </c>
      <c r="T7" s="97" t="s">
        <v>89</v>
      </c>
      <c r="U7" s="311" t="s">
        <v>90</v>
      </c>
      <c r="V7" s="312"/>
      <c r="W7" s="312"/>
      <c r="X7" s="313"/>
      <c r="Y7" s="98"/>
      <c r="Z7" s="96" t="s">
        <v>126</v>
      </c>
      <c r="AA7" s="12" t="s">
        <v>127</v>
      </c>
      <c r="AB7" s="12" t="s">
        <v>125</v>
      </c>
    </row>
    <row r="8" spans="1:31" x14ac:dyDescent="0.15">
      <c r="A8" s="17"/>
      <c r="B8" s="99" t="s">
        <v>94</v>
      </c>
      <c r="C8" s="301" t="s">
        <v>209</v>
      </c>
      <c r="D8" s="302"/>
      <c r="E8" s="302"/>
      <c r="F8" s="303"/>
      <c r="G8" s="304">
        <v>1</v>
      </c>
      <c r="H8" s="305"/>
      <c r="I8" s="306"/>
      <c r="J8" s="304" t="s">
        <v>91</v>
      </c>
      <c r="K8" s="306"/>
      <c r="L8" s="100">
        <v>1</v>
      </c>
      <c r="M8" s="100"/>
      <c r="N8" s="100"/>
      <c r="O8" s="100"/>
      <c r="P8" s="100"/>
      <c r="Q8" s="100"/>
      <c r="R8" s="100"/>
      <c r="S8" s="100"/>
      <c r="T8" s="100"/>
      <c r="U8" s="307" t="s">
        <v>210</v>
      </c>
      <c r="V8" s="308"/>
      <c r="W8" s="308"/>
      <c r="X8" s="309"/>
      <c r="Y8" s="98"/>
      <c r="Z8" s="106">
        <f t="shared" ref="Z8:Z37" si="0">IF(LEFT(J8,7)="decimal",INT(MID(J8,9,FIND(",",J8,9)-9)),0)</f>
        <v>0</v>
      </c>
      <c r="AA8" s="105">
        <f t="shared" ref="AA8:AA37" si="1">IF(J8="varbinary(max)",2147483647,IF(J8="bit",1,IF(LEFT(J8,4)="char",INT(MID(J8,6,LEN(J8)-6)),IF(LEFT(J8,7)="varchar",INT(MID(J8,9,LEN(J8)-9)+2),IF(LEFT(J8,8)="nvarchar",INT(MID(J8,10,LEN(J8)-10)*2+2),IF(LEFT(J8,7)="decimal",IF(Z8&lt;10,5,IF(Z8&lt;20,9,IF(Z8&lt;29,13,17))),0))))))</f>
        <v>0</v>
      </c>
      <c r="AB8" s="105">
        <f t="shared" ref="AB8:AB37" si="2">IF(AA8&gt;0,AA8,IF(J8="date",3,IF(OR(J8="int",J8="real"),4,IF(J8="time",5,IF(OR(J8="datetime",J8="float",J8="datetime2"),8,IF(J8="uniqueidentifier",16,0))))))</f>
        <v>4</v>
      </c>
    </row>
    <row r="9" spans="1:31" x14ac:dyDescent="0.15">
      <c r="A9" s="101"/>
      <c r="B9" s="99">
        <f>B8+1</f>
        <v>2</v>
      </c>
      <c r="C9" s="301" t="s">
        <v>256</v>
      </c>
      <c r="D9" s="302"/>
      <c r="E9" s="302"/>
      <c r="F9" s="303"/>
      <c r="G9" s="304">
        <v>1</v>
      </c>
      <c r="H9" s="305"/>
      <c r="I9" s="306"/>
      <c r="J9" s="304" t="s">
        <v>91</v>
      </c>
      <c r="K9" s="306"/>
      <c r="L9" s="100">
        <v>2</v>
      </c>
      <c r="M9" s="100"/>
      <c r="N9" s="150"/>
      <c r="O9" s="100"/>
      <c r="P9" s="100"/>
      <c r="Q9" s="100"/>
      <c r="R9" s="100"/>
      <c r="S9" s="100"/>
      <c r="T9" s="100"/>
      <c r="U9" s="307" t="s">
        <v>280</v>
      </c>
      <c r="V9" s="308"/>
      <c r="W9" s="308"/>
      <c r="X9" s="309"/>
      <c r="Y9" s="98"/>
      <c r="Z9" s="106">
        <f>IF(LEFT(J9,7)="decimal",INT(MID(J9,9,FIND(",",J9,9)-9)),0)</f>
        <v>0</v>
      </c>
      <c r="AA9" s="105">
        <f>IF(J9="varbinary(max)",2147483647,IF(J9="bit",1,IF(LEFT(J9,4)="char",INT(MID(J9,6,LEN(J9)-6)),IF(LEFT(J9,7)="varchar",INT(MID(J9,9,LEN(J9)-9)+2),IF(LEFT(J9,8)="nvarchar",INT(MID(J9,10,LEN(J9)-10)*2+2),IF(LEFT(J9,7)="decimal",IF(Z9&lt;10,5,IF(Z9&lt;20,9,IF(Z9&lt;29,13,17))),0))))))</f>
        <v>0</v>
      </c>
      <c r="AB9" s="105">
        <f>IF(AA9&gt;0,AA9,IF(J9="date",3,IF(OR(J9="int",J9="real"),4,IF(J9="time",5,IF(OR(J9="datetime",J9="float",J9="datetime2"),8,IF(J9="uniqueidentifier",16,0))))))</f>
        <v>4</v>
      </c>
    </row>
    <row r="10" spans="1:31" x14ac:dyDescent="0.15">
      <c r="A10" s="17"/>
      <c r="B10" s="99">
        <f t="shared" ref="B10:B37" si="3">B9+1</f>
        <v>3</v>
      </c>
      <c r="C10" s="301" t="s">
        <v>281</v>
      </c>
      <c r="D10" s="302"/>
      <c r="E10" s="302"/>
      <c r="F10" s="303"/>
      <c r="G10" s="304">
        <v>1</v>
      </c>
      <c r="H10" s="305"/>
      <c r="I10" s="306"/>
      <c r="J10" s="304" t="s">
        <v>219</v>
      </c>
      <c r="K10" s="306"/>
      <c r="L10" s="100"/>
      <c r="M10" s="171" t="s">
        <v>253</v>
      </c>
      <c r="N10" s="100"/>
      <c r="O10" s="100"/>
      <c r="P10" s="100"/>
      <c r="Q10" s="100"/>
      <c r="R10" s="100"/>
      <c r="S10" s="100"/>
      <c r="T10" s="100"/>
      <c r="U10" s="301" t="s">
        <v>299</v>
      </c>
      <c r="V10" s="302"/>
      <c r="W10" s="302"/>
      <c r="X10" s="303"/>
      <c r="Y10" s="98"/>
      <c r="Z10" s="106">
        <f t="shared" si="0"/>
        <v>0</v>
      </c>
      <c r="AA10" s="105">
        <f t="shared" si="1"/>
        <v>0</v>
      </c>
      <c r="AB10" s="105">
        <f t="shared" si="2"/>
        <v>8</v>
      </c>
    </row>
    <row r="11" spans="1:31" x14ac:dyDescent="0.15">
      <c r="A11" s="17"/>
      <c r="B11" s="99">
        <f t="shared" si="3"/>
        <v>4</v>
      </c>
      <c r="C11" s="301" t="s">
        <v>282</v>
      </c>
      <c r="D11" s="302"/>
      <c r="E11" s="302"/>
      <c r="F11" s="303"/>
      <c r="G11" s="304">
        <v>1</v>
      </c>
      <c r="H11" s="305"/>
      <c r="I11" s="306"/>
      <c r="J11" s="304" t="s">
        <v>219</v>
      </c>
      <c r="K11" s="306"/>
      <c r="L11" s="100"/>
      <c r="M11" s="100"/>
      <c r="N11" s="100"/>
      <c r="O11" s="100"/>
      <c r="P11" s="100"/>
      <c r="Q11" s="100"/>
      <c r="R11" s="100"/>
      <c r="S11" s="100"/>
      <c r="T11" s="100"/>
      <c r="U11" s="301" t="s">
        <v>283</v>
      </c>
      <c r="V11" s="302"/>
      <c r="W11" s="302"/>
      <c r="X11" s="303"/>
      <c r="Y11" s="98"/>
      <c r="Z11" s="106">
        <f t="shared" si="0"/>
        <v>0</v>
      </c>
      <c r="AA11" s="105">
        <f t="shared" si="1"/>
        <v>0</v>
      </c>
      <c r="AB11" s="105">
        <f t="shared" si="2"/>
        <v>8</v>
      </c>
    </row>
    <row r="12" spans="1:31" x14ac:dyDescent="0.15">
      <c r="A12" s="17"/>
      <c r="B12" s="99">
        <f t="shared" si="3"/>
        <v>5</v>
      </c>
      <c r="C12" s="301"/>
      <c r="D12" s="302"/>
      <c r="E12" s="302"/>
      <c r="F12" s="303"/>
      <c r="G12" s="304"/>
      <c r="H12" s="305"/>
      <c r="I12" s="306"/>
      <c r="J12" s="304"/>
      <c r="K12" s="306"/>
      <c r="L12" s="100"/>
      <c r="M12" s="100"/>
      <c r="N12" s="100"/>
      <c r="O12" s="100"/>
      <c r="P12" s="100"/>
      <c r="Q12" s="100"/>
      <c r="R12" s="100"/>
      <c r="S12" s="100"/>
      <c r="T12" s="100"/>
      <c r="U12" s="301"/>
      <c r="V12" s="302"/>
      <c r="W12" s="302"/>
      <c r="X12" s="303"/>
      <c r="Y12" s="98"/>
      <c r="Z12" s="106">
        <f t="shared" si="0"/>
        <v>0</v>
      </c>
      <c r="AA12" s="105">
        <f t="shared" si="1"/>
        <v>0</v>
      </c>
      <c r="AB12" s="105">
        <f t="shared" si="2"/>
        <v>0</v>
      </c>
    </row>
    <row r="13" spans="1:31" x14ac:dyDescent="0.15">
      <c r="A13" s="17"/>
      <c r="B13" s="99">
        <f t="shared" si="3"/>
        <v>6</v>
      </c>
      <c r="C13" s="301"/>
      <c r="D13" s="302"/>
      <c r="E13" s="302"/>
      <c r="F13" s="303"/>
      <c r="G13" s="304"/>
      <c r="H13" s="305"/>
      <c r="I13" s="306"/>
      <c r="J13" s="304"/>
      <c r="K13" s="306"/>
      <c r="L13" s="100"/>
      <c r="M13" s="171"/>
      <c r="N13" s="100"/>
      <c r="O13" s="100"/>
      <c r="P13" s="100"/>
      <c r="Q13" s="100"/>
      <c r="R13" s="100"/>
      <c r="S13" s="100"/>
      <c r="T13" s="100"/>
      <c r="U13" s="301"/>
      <c r="V13" s="302"/>
      <c r="W13" s="302"/>
      <c r="X13" s="303"/>
      <c r="Y13" s="98"/>
      <c r="Z13" s="106">
        <f t="shared" si="0"/>
        <v>0</v>
      </c>
      <c r="AA13" s="105">
        <f t="shared" si="1"/>
        <v>0</v>
      </c>
      <c r="AB13" s="105">
        <f t="shared" si="2"/>
        <v>0</v>
      </c>
    </row>
    <row r="14" spans="1:31" x14ac:dyDescent="0.15">
      <c r="A14" s="17"/>
      <c r="B14" s="99">
        <f t="shared" si="3"/>
        <v>7</v>
      </c>
      <c r="C14" s="301"/>
      <c r="D14" s="302"/>
      <c r="E14" s="302"/>
      <c r="F14" s="303"/>
      <c r="G14" s="304"/>
      <c r="H14" s="305"/>
      <c r="I14" s="306"/>
      <c r="J14" s="304"/>
      <c r="K14" s="306"/>
      <c r="L14" s="100"/>
      <c r="M14" s="100"/>
      <c r="N14" s="100"/>
      <c r="O14" s="100"/>
      <c r="P14" s="100"/>
      <c r="Q14" s="100"/>
      <c r="R14" s="100"/>
      <c r="S14" s="100"/>
      <c r="T14" s="100"/>
      <c r="U14" s="301"/>
      <c r="V14" s="302"/>
      <c r="W14" s="302"/>
      <c r="X14" s="303"/>
      <c r="Y14" s="98"/>
      <c r="Z14" s="106">
        <f t="shared" si="0"/>
        <v>0</v>
      </c>
      <c r="AA14" s="105">
        <f t="shared" si="1"/>
        <v>0</v>
      </c>
      <c r="AB14" s="105">
        <f>IF(AA14&gt;0,AA14,IF(J14="date",3,IF(OR(J14="int",J14="real"),4,IF(J14="time",5,IF(OR(J14="datetime",J14="float",J14="datetime2"),8,IF(J14="uniqueidentifier",16,0))))))</f>
        <v>0</v>
      </c>
    </row>
    <row r="15" spans="1:31" x14ac:dyDescent="0.15">
      <c r="A15" s="17"/>
      <c r="B15" s="99">
        <f t="shared" si="3"/>
        <v>8</v>
      </c>
      <c r="C15" s="301"/>
      <c r="D15" s="302"/>
      <c r="E15" s="302"/>
      <c r="F15" s="303"/>
      <c r="G15" s="304"/>
      <c r="H15" s="305"/>
      <c r="I15" s="306"/>
      <c r="J15" s="304"/>
      <c r="K15" s="306"/>
      <c r="L15" s="100"/>
      <c r="M15" s="171"/>
      <c r="N15" s="100"/>
      <c r="O15" s="100"/>
      <c r="P15" s="100"/>
      <c r="Q15" s="100"/>
      <c r="R15" s="100"/>
      <c r="S15" s="100"/>
      <c r="T15" s="100"/>
      <c r="U15" s="301"/>
      <c r="V15" s="302"/>
      <c r="W15" s="302"/>
      <c r="X15" s="303"/>
      <c r="Y15" s="98"/>
      <c r="Z15" s="106">
        <f t="shared" si="0"/>
        <v>0</v>
      </c>
      <c r="AA15" s="105">
        <f t="shared" si="1"/>
        <v>0</v>
      </c>
      <c r="AB15" s="105">
        <f t="shared" si="2"/>
        <v>0</v>
      </c>
    </row>
    <row r="16" spans="1:31" x14ac:dyDescent="0.15">
      <c r="A16" s="101"/>
      <c r="B16" s="99">
        <f t="shared" si="3"/>
        <v>9</v>
      </c>
      <c r="C16" s="301"/>
      <c r="D16" s="302"/>
      <c r="E16" s="302"/>
      <c r="F16" s="303"/>
      <c r="G16" s="304"/>
      <c r="H16" s="305"/>
      <c r="I16" s="306"/>
      <c r="J16" s="304"/>
      <c r="K16" s="306"/>
      <c r="L16" s="100"/>
      <c r="M16" s="171"/>
      <c r="N16" s="100"/>
      <c r="O16" s="100"/>
      <c r="P16" s="100"/>
      <c r="Q16" s="100"/>
      <c r="R16" s="100"/>
      <c r="S16" s="100"/>
      <c r="T16" s="100"/>
      <c r="U16" s="301"/>
      <c r="V16" s="302"/>
      <c r="W16" s="302"/>
      <c r="X16" s="303"/>
      <c r="Y16" s="98"/>
      <c r="Z16" s="106">
        <f t="shared" si="0"/>
        <v>0</v>
      </c>
      <c r="AA16" s="105">
        <f t="shared" si="1"/>
        <v>0</v>
      </c>
      <c r="AB16" s="105">
        <f t="shared" si="2"/>
        <v>0</v>
      </c>
    </row>
    <row r="17" spans="1:28" x14ac:dyDescent="0.15">
      <c r="A17" s="101"/>
      <c r="B17" s="99">
        <f t="shared" si="3"/>
        <v>10</v>
      </c>
      <c r="C17" s="301"/>
      <c r="D17" s="302"/>
      <c r="E17" s="302"/>
      <c r="F17" s="303"/>
      <c r="G17" s="304"/>
      <c r="H17" s="305"/>
      <c r="I17" s="306"/>
      <c r="J17" s="304"/>
      <c r="K17" s="306"/>
      <c r="L17" s="100"/>
      <c r="M17" s="171"/>
      <c r="N17" s="100"/>
      <c r="O17" s="100"/>
      <c r="P17" s="100"/>
      <c r="Q17" s="100"/>
      <c r="R17" s="100"/>
      <c r="S17" s="100"/>
      <c r="T17" s="100"/>
      <c r="U17" s="301"/>
      <c r="V17" s="302"/>
      <c r="W17" s="302"/>
      <c r="X17" s="303"/>
      <c r="Y17" s="98"/>
      <c r="Z17" s="106">
        <f t="shared" si="0"/>
        <v>0</v>
      </c>
      <c r="AA17" s="105">
        <f t="shared" si="1"/>
        <v>0</v>
      </c>
      <c r="AB17" s="105">
        <f t="shared" si="2"/>
        <v>0</v>
      </c>
    </row>
    <row r="18" spans="1:28" x14ac:dyDescent="0.15">
      <c r="A18" s="101"/>
      <c r="B18" s="99">
        <f t="shared" si="3"/>
        <v>11</v>
      </c>
      <c r="C18" s="301"/>
      <c r="D18" s="302"/>
      <c r="E18" s="302"/>
      <c r="F18" s="303"/>
      <c r="G18" s="304"/>
      <c r="H18" s="305"/>
      <c r="I18" s="306"/>
      <c r="J18" s="304"/>
      <c r="K18" s="306"/>
      <c r="L18" s="100"/>
      <c r="M18" s="100"/>
      <c r="N18" s="100"/>
      <c r="O18" s="100"/>
      <c r="P18" s="100"/>
      <c r="Q18" s="100"/>
      <c r="R18" s="100"/>
      <c r="S18" s="100"/>
      <c r="T18" s="100"/>
      <c r="U18" s="301"/>
      <c r="V18" s="302"/>
      <c r="W18" s="302"/>
      <c r="X18" s="303"/>
      <c r="Y18" s="98"/>
      <c r="Z18" s="106">
        <f t="shared" si="0"/>
        <v>0</v>
      </c>
      <c r="AA18" s="105">
        <f t="shared" si="1"/>
        <v>0</v>
      </c>
      <c r="AB18" s="105">
        <f t="shared" si="2"/>
        <v>0</v>
      </c>
    </row>
    <row r="19" spans="1:28" x14ac:dyDescent="0.15">
      <c r="A19" s="101"/>
      <c r="B19" s="99">
        <f t="shared" si="3"/>
        <v>12</v>
      </c>
      <c r="C19" s="301"/>
      <c r="D19" s="302"/>
      <c r="E19" s="302"/>
      <c r="F19" s="303"/>
      <c r="G19" s="304"/>
      <c r="H19" s="305"/>
      <c r="I19" s="306"/>
      <c r="J19" s="304"/>
      <c r="K19" s="306"/>
      <c r="L19" s="100"/>
      <c r="M19" s="100"/>
      <c r="N19" s="100"/>
      <c r="O19" s="100"/>
      <c r="P19" s="100"/>
      <c r="Q19" s="100"/>
      <c r="R19" s="100"/>
      <c r="S19" s="100"/>
      <c r="T19" s="100"/>
      <c r="U19" s="301"/>
      <c r="V19" s="302"/>
      <c r="W19" s="302"/>
      <c r="X19" s="303"/>
      <c r="Y19" s="98"/>
      <c r="Z19" s="106">
        <f t="shared" si="0"/>
        <v>0</v>
      </c>
      <c r="AA19" s="105">
        <f t="shared" si="1"/>
        <v>0</v>
      </c>
      <c r="AB19" s="105">
        <f t="shared" si="2"/>
        <v>0</v>
      </c>
    </row>
    <row r="20" spans="1:28" x14ac:dyDescent="0.15">
      <c r="A20" s="101"/>
      <c r="B20" s="99">
        <f t="shared" si="3"/>
        <v>13</v>
      </c>
      <c r="C20" s="301"/>
      <c r="D20" s="302"/>
      <c r="E20" s="302"/>
      <c r="F20" s="303"/>
      <c r="G20" s="304"/>
      <c r="H20" s="305"/>
      <c r="I20" s="306"/>
      <c r="J20" s="304"/>
      <c r="K20" s="306"/>
      <c r="L20" s="100"/>
      <c r="M20" s="100"/>
      <c r="N20" s="100"/>
      <c r="O20" s="100"/>
      <c r="P20" s="100"/>
      <c r="Q20" s="100"/>
      <c r="R20" s="100"/>
      <c r="S20" s="100"/>
      <c r="T20" s="100"/>
      <c r="U20" s="301"/>
      <c r="V20" s="302"/>
      <c r="W20" s="302"/>
      <c r="X20" s="303"/>
      <c r="Y20" s="98"/>
      <c r="Z20" s="106">
        <f t="shared" si="0"/>
        <v>0</v>
      </c>
      <c r="AA20" s="105">
        <f t="shared" si="1"/>
        <v>0</v>
      </c>
      <c r="AB20" s="105">
        <f t="shared" si="2"/>
        <v>0</v>
      </c>
    </row>
    <row r="21" spans="1:28" x14ac:dyDescent="0.15">
      <c r="A21" s="101"/>
      <c r="B21" s="99">
        <f t="shared" si="3"/>
        <v>14</v>
      </c>
      <c r="C21" s="301"/>
      <c r="D21" s="302"/>
      <c r="E21" s="302"/>
      <c r="F21" s="303"/>
      <c r="G21" s="304"/>
      <c r="H21" s="305"/>
      <c r="I21" s="306"/>
      <c r="J21" s="304"/>
      <c r="K21" s="306"/>
      <c r="L21" s="100"/>
      <c r="M21" s="100"/>
      <c r="N21" s="100"/>
      <c r="O21" s="100"/>
      <c r="P21" s="100"/>
      <c r="Q21" s="100"/>
      <c r="R21" s="100"/>
      <c r="S21" s="100"/>
      <c r="T21" s="100"/>
      <c r="U21" s="301"/>
      <c r="V21" s="302"/>
      <c r="W21" s="302"/>
      <c r="X21" s="303"/>
      <c r="Y21" s="98"/>
      <c r="Z21" s="106">
        <f t="shared" si="0"/>
        <v>0</v>
      </c>
      <c r="AA21" s="105">
        <f t="shared" si="1"/>
        <v>0</v>
      </c>
      <c r="AB21" s="105">
        <f t="shared" si="2"/>
        <v>0</v>
      </c>
    </row>
    <row r="22" spans="1:28" x14ac:dyDescent="0.15">
      <c r="A22" s="101"/>
      <c r="B22" s="99">
        <f t="shared" si="3"/>
        <v>15</v>
      </c>
      <c r="C22" s="301"/>
      <c r="D22" s="302"/>
      <c r="E22" s="302"/>
      <c r="F22" s="303"/>
      <c r="G22" s="304"/>
      <c r="H22" s="305"/>
      <c r="I22" s="306"/>
      <c r="J22" s="304"/>
      <c r="K22" s="306"/>
      <c r="L22" s="100"/>
      <c r="M22" s="171"/>
      <c r="N22" s="100"/>
      <c r="O22" s="100"/>
      <c r="P22" s="100"/>
      <c r="Q22" s="100"/>
      <c r="R22" s="100"/>
      <c r="S22" s="100"/>
      <c r="T22" s="100"/>
      <c r="U22" s="301"/>
      <c r="V22" s="302"/>
      <c r="W22" s="302"/>
      <c r="X22" s="303"/>
      <c r="Y22" s="98"/>
      <c r="Z22" s="106">
        <f t="shared" si="0"/>
        <v>0</v>
      </c>
      <c r="AA22" s="105">
        <f t="shared" si="1"/>
        <v>0</v>
      </c>
      <c r="AB22" s="105">
        <f t="shared" si="2"/>
        <v>0</v>
      </c>
    </row>
    <row r="23" spans="1:28" x14ac:dyDescent="0.15">
      <c r="A23" s="101"/>
      <c r="B23" s="99">
        <f t="shared" si="3"/>
        <v>16</v>
      </c>
      <c r="C23" s="301"/>
      <c r="D23" s="302"/>
      <c r="E23" s="302"/>
      <c r="F23" s="303"/>
      <c r="G23" s="304"/>
      <c r="H23" s="305"/>
      <c r="I23" s="306"/>
      <c r="J23" s="304"/>
      <c r="K23" s="306"/>
      <c r="L23" s="100"/>
      <c r="M23" s="100"/>
      <c r="N23" s="100"/>
      <c r="O23" s="100"/>
      <c r="P23" s="100"/>
      <c r="Q23" s="100"/>
      <c r="R23" s="100"/>
      <c r="S23" s="100"/>
      <c r="T23" s="100"/>
      <c r="U23" s="301"/>
      <c r="V23" s="302"/>
      <c r="W23" s="302"/>
      <c r="X23" s="303"/>
      <c r="Y23" s="98"/>
      <c r="Z23" s="106">
        <f t="shared" si="0"/>
        <v>0</v>
      </c>
      <c r="AA23" s="105">
        <f t="shared" si="1"/>
        <v>0</v>
      </c>
      <c r="AB23" s="105">
        <f t="shared" si="2"/>
        <v>0</v>
      </c>
    </row>
    <row r="24" spans="1:28" x14ac:dyDescent="0.15">
      <c r="A24" s="101"/>
      <c r="B24" s="99">
        <f t="shared" si="3"/>
        <v>17</v>
      </c>
      <c r="C24" s="301"/>
      <c r="D24" s="302"/>
      <c r="E24" s="302"/>
      <c r="F24" s="303"/>
      <c r="G24" s="304"/>
      <c r="H24" s="305"/>
      <c r="I24" s="306"/>
      <c r="J24" s="304"/>
      <c r="K24" s="306"/>
      <c r="L24" s="100"/>
      <c r="M24" s="100"/>
      <c r="N24" s="100"/>
      <c r="O24" s="100"/>
      <c r="P24" s="100"/>
      <c r="Q24" s="100"/>
      <c r="R24" s="100"/>
      <c r="S24" s="100"/>
      <c r="T24" s="100"/>
      <c r="U24" s="301"/>
      <c r="V24" s="302"/>
      <c r="W24" s="302"/>
      <c r="X24" s="303"/>
      <c r="Y24" s="98"/>
      <c r="Z24" s="106">
        <f t="shared" si="0"/>
        <v>0</v>
      </c>
      <c r="AA24" s="105">
        <f t="shared" si="1"/>
        <v>0</v>
      </c>
      <c r="AB24" s="105">
        <f t="shared" si="2"/>
        <v>0</v>
      </c>
    </row>
    <row r="25" spans="1:28" x14ac:dyDescent="0.15">
      <c r="A25" s="101"/>
      <c r="B25" s="99">
        <f t="shared" si="3"/>
        <v>18</v>
      </c>
      <c r="C25" s="301"/>
      <c r="D25" s="302"/>
      <c r="E25" s="302"/>
      <c r="F25" s="303"/>
      <c r="G25" s="304"/>
      <c r="H25" s="305"/>
      <c r="I25" s="306"/>
      <c r="J25" s="304"/>
      <c r="K25" s="306"/>
      <c r="L25" s="100"/>
      <c r="M25" s="171"/>
      <c r="N25" s="100"/>
      <c r="O25" s="100"/>
      <c r="P25" s="100"/>
      <c r="Q25" s="100"/>
      <c r="R25" s="100"/>
      <c r="S25" s="100"/>
      <c r="T25" s="100"/>
      <c r="U25" s="301"/>
      <c r="V25" s="302"/>
      <c r="W25" s="302"/>
      <c r="X25" s="303"/>
      <c r="Y25" s="98"/>
      <c r="Z25" s="106">
        <f t="shared" si="0"/>
        <v>0</v>
      </c>
      <c r="AA25" s="105">
        <f t="shared" si="1"/>
        <v>0</v>
      </c>
      <c r="AB25" s="105">
        <f t="shared" si="2"/>
        <v>0</v>
      </c>
    </row>
    <row r="26" spans="1:28" x14ac:dyDescent="0.15">
      <c r="A26" s="101"/>
      <c r="B26" s="99">
        <f t="shared" si="3"/>
        <v>19</v>
      </c>
      <c r="C26" s="301"/>
      <c r="D26" s="302"/>
      <c r="E26" s="302"/>
      <c r="F26" s="303"/>
      <c r="G26" s="304"/>
      <c r="H26" s="305"/>
      <c r="I26" s="306"/>
      <c r="J26" s="304"/>
      <c r="K26" s="306"/>
      <c r="L26" s="100"/>
      <c r="M26" s="100"/>
      <c r="N26" s="100"/>
      <c r="O26" s="100"/>
      <c r="P26" s="100"/>
      <c r="Q26" s="100"/>
      <c r="R26" s="100"/>
      <c r="S26" s="100"/>
      <c r="T26" s="100"/>
      <c r="U26" s="301"/>
      <c r="V26" s="302"/>
      <c r="W26" s="302"/>
      <c r="X26" s="303"/>
      <c r="Y26" s="98"/>
      <c r="Z26" s="106">
        <f t="shared" si="0"/>
        <v>0</v>
      </c>
      <c r="AA26" s="105">
        <f t="shared" si="1"/>
        <v>0</v>
      </c>
      <c r="AB26" s="105">
        <f t="shared" si="2"/>
        <v>0</v>
      </c>
    </row>
    <row r="27" spans="1:28" x14ac:dyDescent="0.15">
      <c r="A27" s="101"/>
      <c r="B27" s="99">
        <f t="shared" si="3"/>
        <v>20</v>
      </c>
      <c r="C27" s="301"/>
      <c r="D27" s="302"/>
      <c r="E27" s="302"/>
      <c r="F27" s="303"/>
      <c r="G27" s="304"/>
      <c r="H27" s="305"/>
      <c r="I27" s="306"/>
      <c r="J27" s="304"/>
      <c r="K27" s="306"/>
      <c r="L27" s="100"/>
      <c r="M27" s="171"/>
      <c r="N27" s="100"/>
      <c r="O27" s="100"/>
      <c r="P27" s="100"/>
      <c r="Q27" s="100"/>
      <c r="R27" s="100"/>
      <c r="S27" s="100"/>
      <c r="T27" s="100"/>
      <c r="U27" s="301"/>
      <c r="V27" s="302"/>
      <c r="W27" s="302"/>
      <c r="X27" s="303"/>
      <c r="Y27" s="98"/>
      <c r="Z27" s="106">
        <f t="shared" si="0"/>
        <v>0</v>
      </c>
      <c r="AA27" s="105">
        <f t="shared" si="1"/>
        <v>0</v>
      </c>
      <c r="AB27" s="105">
        <f t="shared" si="2"/>
        <v>0</v>
      </c>
    </row>
    <row r="28" spans="1:28" x14ac:dyDescent="0.15">
      <c r="A28" s="101"/>
      <c r="B28" s="99">
        <f t="shared" si="3"/>
        <v>21</v>
      </c>
      <c r="C28" s="301"/>
      <c r="D28" s="302"/>
      <c r="E28" s="302"/>
      <c r="F28" s="303"/>
      <c r="G28" s="304"/>
      <c r="H28" s="305"/>
      <c r="I28" s="306"/>
      <c r="J28" s="304"/>
      <c r="K28" s="306"/>
      <c r="L28" s="100"/>
      <c r="M28" s="171"/>
      <c r="N28" s="100"/>
      <c r="O28" s="100"/>
      <c r="P28" s="100"/>
      <c r="Q28" s="100"/>
      <c r="R28" s="100"/>
      <c r="S28" s="100"/>
      <c r="T28" s="100"/>
      <c r="U28" s="301"/>
      <c r="V28" s="302"/>
      <c r="W28" s="302"/>
      <c r="X28" s="303"/>
      <c r="Y28" s="98"/>
      <c r="Z28" s="106">
        <f t="shared" si="0"/>
        <v>0</v>
      </c>
      <c r="AA28" s="105">
        <f t="shared" si="1"/>
        <v>0</v>
      </c>
      <c r="AB28" s="105">
        <f t="shared" si="2"/>
        <v>0</v>
      </c>
    </row>
    <row r="29" spans="1:28" x14ac:dyDescent="0.15">
      <c r="A29" s="101"/>
      <c r="B29" s="99">
        <f t="shared" si="3"/>
        <v>22</v>
      </c>
      <c r="C29" s="301"/>
      <c r="D29" s="302"/>
      <c r="E29" s="302"/>
      <c r="F29" s="303"/>
      <c r="G29" s="304"/>
      <c r="H29" s="305"/>
      <c r="I29" s="306"/>
      <c r="J29" s="304"/>
      <c r="K29" s="306"/>
      <c r="L29" s="100"/>
      <c r="M29" s="100"/>
      <c r="N29" s="100"/>
      <c r="O29" s="100"/>
      <c r="P29" s="100"/>
      <c r="Q29" s="100"/>
      <c r="R29" s="100"/>
      <c r="S29" s="100"/>
      <c r="T29" s="100"/>
      <c r="U29" s="301"/>
      <c r="V29" s="302"/>
      <c r="W29" s="302"/>
      <c r="X29" s="303"/>
      <c r="Y29" s="98"/>
      <c r="Z29" s="106">
        <f t="shared" si="0"/>
        <v>0</v>
      </c>
      <c r="AA29" s="105">
        <f t="shared" si="1"/>
        <v>0</v>
      </c>
      <c r="AB29" s="105">
        <f t="shared" si="2"/>
        <v>0</v>
      </c>
    </row>
    <row r="30" spans="1:28" x14ac:dyDescent="0.15">
      <c r="A30" s="101"/>
      <c r="B30" s="99">
        <f t="shared" si="3"/>
        <v>23</v>
      </c>
      <c r="C30" s="301"/>
      <c r="D30" s="302"/>
      <c r="E30" s="302"/>
      <c r="F30" s="303"/>
      <c r="G30" s="304"/>
      <c r="H30" s="305"/>
      <c r="I30" s="306"/>
      <c r="J30" s="304"/>
      <c r="K30" s="306"/>
      <c r="L30" s="100"/>
      <c r="M30" s="100"/>
      <c r="N30" s="100"/>
      <c r="O30" s="100"/>
      <c r="P30" s="100"/>
      <c r="Q30" s="100"/>
      <c r="R30" s="100"/>
      <c r="S30" s="100"/>
      <c r="T30" s="100"/>
      <c r="U30" s="301"/>
      <c r="V30" s="302"/>
      <c r="W30" s="302"/>
      <c r="X30" s="303"/>
      <c r="Y30" s="98"/>
      <c r="Z30" s="106">
        <f t="shared" si="0"/>
        <v>0</v>
      </c>
      <c r="AA30" s="105">
        <f t="shared" si="1"/>
        <v>0</v>
      </c>
      <c r="AB30" s="105">
        <f t="shared" si="2"/>
        <v>0</v>
      </c>
    </row>
    <row r="31" spans="1:28" x14ac:dyDescent="0.15">
      <c r="A31" s="101"/>
      <c r="B31" s="99">
        <f t="shared" si="3"/>
        <v>24</v>
      </c>
      <c r="C31" s="301"/>
      <c r="D31" s="302"/>
      <c r="E31" s="302"/>
      <c r="F31" s="303"/>
      <c r="G31" s="304"/>
      <c r="H31" s="305"/>
      <c r="I31" s="306"/>
      <c r="J31" s="304"/>
      <c r="K31" s="306"/>
      <c r="L31" s="100"/>
      <c r="M31" s="100"/>
      <c r="N31" s="100"/>
      <c r="O31" s="100"/>
      <c r="P31" s="100"/>
      <c r="Q31" s="100"/>
      <c r="R31" s="100"/>
      <c r="S31" s="100"/>
      <c r="T31" s="100"/>
      <c r="U31" s="301"/>
      <c r="V31" s="302"/>
      <c r="W31" s="302"/>
      <c r="X31" s="303"/>
      <c r="Y31" s="98"/>
      <c r="Z31" s="106">
        <f t="shared" si="0"/>
        <v>0</v>
      </c>
      <c r="AA31" s="105">
        <f t="shared" si="1"/>
        <v>0</v>
      </c>
      <c r="AB31" s="105">
        <f t="shared" si="2"/>
        <v>0</v>
      </c>
    </row>
    <row r="32" spans="1:28" x14ac:dyDescent="0.15">
      <c r="A32" s="101"/>
      <c r="B32" s="99">
        <f t="shared" si="3"/>
        <v>25</v>
      </c>
      <c r="C32" s="301"/>
      <c r="D32" s="302"/>
      <c r="E32" s="302"/>
      <c r="F32" s="303"/>
      <c r="G32" s="304"/>
      <c r="H32" s="305"/>
      <c r="I32" s="306"/>
      <c r="J32" s="304"/>
      <c r="K32" s="306"/>
      <c r="L32" s="100"/>
      <c r="M32" s="100"/>
      <c r="N32" s="100"/>
      <c r="O32" s="100"/>
      <c r="P32" s="100"/>
      <c r="Q32" s="100"/>
      <c r="R32" s="100"/>
      <c r="S32" s="100"/>
      <c r="T32" s="100"/>
      <c r="U32" s="301"/>
      <c r="V32" s="302"/>
      <c r="W32" s="302"/>
      <c r="X32" s="303"/>
      <c r="Y32" s="98"/>
      <c r="Z32" s="106">
        <f t="shared" si="0"/>
        <v>0</v>
      </c>
      <c r="AA32" s="105">
        <f t="shared" si="1"/>
        <v>0</v>
      </c>
      <c r="AB32" s="105">
        <f t="shared" si="2"/>
        <v>0</v>
      </c>
    </row>
    <row r="33" spans="1:28" x14ac:dyDescent="0.15">
      <c r="A33" s="101"/>
      <c r="B33" s="99">
        <f t="shared" si="3"/>
        <v>26</v>
      </c>
      <c r="C33" s="301"/>
      <c r="D33" s="302"/>
      <c r="E33" s="302"/>
      <c r="F33" s="303"/>
      <c r="G33" s="304"/>
      <c r="H33" s="305"/>
      <c r="I33" s="306"/>
      <c r="J33" s="304"/>
      <c r="K33" s="306"/>
      <c r="L33" s="100"/>
      <c r="M33" s="100"/>
      <c r="N33" s="100"/>
      <c r="O33" s="100"/>
      <c r="P33" s="100"/>
      <c r="Q33" s="100"/>
      <c r="R33" s="100"/>
      <c r="S33" s="100"/>
      <c r="T33" s="100"/>
      <c r="U33" s="301"/>
      <c r="V33" s="302"/>
      <c r="W33" s="302"/>
      <c r="X33" s="303"/>
      <c r="Y33" s="98"/>
      <c r="Z33" s="106">
        <f t="shared" si="0"/>
        <v>0</v>
      </c>
      <c r="AA33" s="105">
        <f t="shared" si="1"/>
        <v>0</v>
      </c>
      <c r="AB33" s="105">
        <f t="shared" si="2"/>
        <v>0</v>
      </c>
    </row>
    <row r="34" spans="1:28" x14ac:dyDescent="0.15">
      <c r="A34" s="101"/>
      <c r="B34" s="99">
        <f t="shared" si="3"/>
        <v>27</v>
      </c>
      <c r="C34" s="301"/>
      <c r="D34" s="302"/>
      <c r="E34" s="302"/>
      <c r="F34" s="303"/>
      <c r="G34" s="304"/>
      <c r="H34" s="305"/>
      <c r="I34" s="306"/>
      <c r="J34" s="304"/>
      <c r="K34" s="306"/>
      <c r="L34" s="100"/>
      <c r="M34" s="100"/>
      <c r="N34" s="100"/>
      <c r="O34" s="100"/>
      <c r="P34" s="100"/>
      <c r="Q34" s="100"/>
      <c r="R34" s="100"/>
      <c r="S34" s="100"/>
      <c r="T34" s="100"/>
      <c r="U34" s="301"/>
      <c r="V34" s="302"/>
      <c r="W34" s="302"/>
      <c r="X34" s="303"/>
      <c r="Y34" s="98"/>
      <c r="Z34" s="106">
        <f t="shared" si="0"/>
        <v>0</v>
      </c>
      <c r="AA34" s="105">
        <f t="shared" si="1"/>
        <v>0</v>
      </c>
      <c r="AB34" s="105">
        <f t="shared" si="2"/>
        <v>0</v>
      </c>
    </row>
    <row r="35" spans="1:28" x14ac:dyDescent="0.15">
      <c r="A35" s="101"/>
      <c r="B35" s="99">
        <f t="shared" si="3"/>
        <v>28</v>
      </c>
      <c r="C35" s="301"/>
      <c r="D35" s="302"/>
      <c r="E35" s="302"/>
      <c r="F35" s="303"/>
      <c r="G35" s="304"/>
      <c r="H35" s="305"/>
      <c r="I35" s="306"/>
      <c r="J35" s="304"/>
      <c r="K35" s="306"/>
      <c r="L35" s="100"/>
      <c r="M35" s="100"/>
      <c r="N35" s="100"/>
      <c r="O35" s="100"/>
      <c r="P35" s="100"/>
      <c r="Q35" s="100"/>
      <c r="R35" s="100"/>
      <c r="S35" s="100"/>
      <c r="T35" s="100"/>
      <c r="U35" s="301"/>
      <c r="V35" s="302"/>
      <c r="W35" s="302"/>
      <c r="X35" s="303"/>
      <c r="Y35" s="98"/>
      <c r="Z35" s="106">
        <f t="shared" si="0"/>
        <v>0</v>
      </c>
      <c r="AA35" s="105">
        <f t="shared" si="1"/>
        <v>0</v>
      </c>
      <c r="AB35" s="105">
        <f t="shared" si="2"/>
        <v>0</v>
      </c>
    </row>
    <row r="36" spans="1:28" x14ac:dyDescent="0.15">
      <c r="A36" s="101"/>
      <c r="B36" s="99">
        <f t="shared" si="3"/>
        <v>29</v>
      </c>
      <c r="C36" s="301"/>
      <c r="D36" s="302"/>
      <c r="E36" s="302"/>
      <c r="F36" s="303"/>
      <c r="G36" s="304"/>
      <c r="H36" s="305"/>
      <c r="I36" s="306"/>
      <c r="J36" s="304"/>
      <c r="K36" s="306"/>
      <c r="L36" s="100"/>
      <c r="M36" s="100"/>
      <c r="N36" s="100"/>
      <c r="O36" s="100"/>
      <c r="P36" s="100"/>
      <c r="Q36" s="100"/>
      <c r="R36" s="100"/>
      <c r="S36" s="100"/>
      <c r="T36" s="100"/>
      <c r="U36" s="301"/>
      <c r="V36" s="302"/>
      <c r="W36" s="302"/>
      <c r="X36" s="303"/>
      <c r="Y36" s="98"/>
      <c r="Z36" s="106">
        <f t="shared" si="0"/>
        <v>0</v>
      </c>
      <c r="AA36" s="105">
        <f t="shared" si="1"/>
        <v>0</v>
      </c>
      <c r="AB36" s="105">
        <f t="shared" si="2"/>
        <v>0</v>
      </c>
    </row>
    <row r="37" spans="1:28" x14ac:dyDescent="0.15">
      <c r="A37" s="101"/>
      <c r="B37" s="99">
        <f t="shared" si="3"/>
        <v>30</v>
      </c>
      <c r="C37" s="301"/>
      <c r="D37" s="302"/>
      <c r="E37" s="302"/>
      <c r="F37" s="303"/>
      <c r="G37" s="304"/>
      <c r="H37" s="305"/>
      <c r="I37" s="306"/>
      <c r="J37" s="304"/>
      <c r="K37" s="306"/>
      <c r="L37" s="100"/>
      <c r="M37" s="100"/>
      <c r="N37" s="100"/>
      <c r="O37" s="100"/>
      <c r="P37" s="100"/>
      <c r="Q37" s="100"/>
      <c r="R37" s="100"/>
      <c r="S37" s="100"/>
      <c r="T37" s="100"/>
      <c r="U37" s="301"/>
      <c r="V37" s="302"/>
      <c r="W37" s="302"/>
      <c r="X37" s="303"/>
      <c r="Y37" s="98"/>
      <c r="Z37" s="106">
        <f t="shared" si="0"/>
        <v>0</v>
      </c>
      <c r="AA37" s="105">
        <f t="shared" si="1"/>
        <v>0</v>
      </c>
      <c r="AB37" s="105">
        <f t="shared" si="2"/>
        <v>0</v>
      </c>
    </row>
    <row r="38" spans="1:28" x14ac:dyDescent="0.15">
      <c r="A38" s="101"/>
      <c r="B38" s="298" t="s">
        <v>122</v>
      </c>
      <c r="C38" s="299"/>
      <c r="D38" s="299"/>
      <c r="E38" s="299"/>
      <c r="F38" s="299"/>
      <c r="G38" s="299"/>
      <c r="H38" s="299"/>
      <c r="I38" s="299"/>
      <c r="J38" s="299"/>
      <c r="K38" s="299"/>
      <c r="L38" s="299"/>
      <c r="M38" s="299"/>
      <c r="N38" s="299"/>
      <c r="O38" s="299"/>
      <c r="P38" s="299"/>
      <c r="Q38" s="299"/>
      <c r="R38" s="299"/>
      <c r="S38" s="299"/>
      <c r="T38" s="299"/>
      <c r="U38" s="299"/>
      <c r="V38" s="299"/>
      <c r="W38" s="299"/>
      <c r="X38" s="300"/>
      <c r="Y38" s="98"/>
      <c r="Z38" s="92"/>
    </row>
    <row r="39" spans="1:28" x14ac:dyDescent="0.15">
      <c r="A39" s="101"/>
      <c r="B39" s="101" t="s">
        <v>301</v>
      </c>
      <c r="C39" s="92"/>
      <c r="D39" s="92"/>
      <c r="E39" s="92"/>
      <c r="F39" s="92"/>
      <c r="G39" s="92"/>
      <c r="H39" s="92"/>
      <c r="I39" s="92"/>
      <c r="J39" s="92"/>
      <c r="K39" s="92"/>
      <c r="L39" s="92"/>
      <c r="M39" s="92"/>
      <c r="N39" s="92"/>
      <c r="O39" s="92"/>
      <c r="P39" s="92"/>
      <c r="Q39" s="92"/>
      <c r="R39" s="92"/>
      <c r="S39" s="92"/>
      <c r="T39" s="92"/>
      <c r="U39" s="92"/>
      <c r="V39" s="92"/>
      <c r="W39" s="92"/>
      <c r="X39" s="98"/>
      <c r="Y39" s="98"/>
      <c r="Z39" s="92"/>
    </row>
    <row r="40" spans="1:28" x14ac:dyDescent="0.15">
      <c r="A40" s="101"/>
      <c r="B40" s="101" t="s">
        <v>302</v>
      </c>
      <c r="C40" s="92"/>
      <c r="D40" s="92"/>
      <c r="E40" s="92"/>
      <c r="F40" s="92"/>
      <c r="G40" s="92"/>
      <c r="H40" s="92"/>
      <c r="I40" s="92"/>
      <c r="J40" s="92"/>
      <c r="K40" s="92"/>
      <c r="L40" s="92"/>
      <c r="M40" s="92"/>
      <c r="N40" s="92"/>
      <c r="O40" s="92"/>
      <c r="P40" s="92"/>
      <c r="Q40" s="92"/>
      <c r="R40" s="92"/>
      <c r="S40" s="92"/>
      <c r="T40" s="92"/>
      <c r="U40" s="92"/>
      <c r="V40" s="92"/>
      <c r="W40" s="92"/>
      <c r="X40" s="98"/>
      <c r="Y40" s="98"/>
      <c r="Z40" s="92"/>
    </row>
    <row r="41" spans="1:28" x14ac:dyDescent="0.15">
      <c r="A41" s="101"/>
      <c r="B41" s="101" t="s">
        <v>303</v>
      </c>
      <c r="C41" s="92"/>
      <c r="D41" s="92"/>
      <c r="E41" s="92"/>
      <c r="F41" s="92"/>
      <c r="G41" s="92"/>
      <c r="H41" s="92"/>
      <c r="I41" s="92"/>
      <c r="J41" s="92"/>
      <c r="K41" s="92"/>
      <c r="L41" s="92"/>
      <c r="M41" s="92"/>
      <c r="N41" s="92"/>
      <c r="O41" s="92"/>
      <c r="P41" s="92"/>
      <c r="Q41" s="92"/>
      <c r="R41" s="92"/>
      <c r="S41" s="92"/>
      <c r="T41" s="92"/>
      <c r="U41" s="92"/>
      <c r="V41" s="92"/>
      <c r="W41" s="92"/>
      <c r="X41" s="98"/>
      <c r="Y41" s="98"/>
      <c r="Z41" s="92"/>
    </row>
    <row r="42" spans="1:28" x14ac:dyDescent="0.15">
      <c r="A42" s="101"/>
      <c r="B42" s="102" t="s">
        <v>304</v>
      </c>
      <c r="C42" s="93"/>
      <c r="D42" s="93"/>
      <c r="E42" s="93"/>
      <c r="F42" s="93"/>
      <c r="G42" s="93"/>
      <c r="H42" s="93"/>
      <c r="I42" s="93"/>
      <c r="J42" s="93"/>
      <c r="K42" s="93"/>
      <c r="L42" s="93"/>
      <c r="M42" s="93"/>
      <c r="N42" s="93"/>
      <c r="O42" s="93"/>
      <c r="P42" s="93"/>
      <c r="Q42" s="93"/>
      <c r="R42" s="93"/>
      <c r="S42" s="93"/>
      <c r="T42" s="93"/>
      <c r="U42" s="93"/>
      <c r="V42" s="93"/>
      <c r="W42" s="93"/>
      <c r="X42" s="103"/>
      <c r="Y42" s="98"/>
      <c r="Z42" s="92"/>
    </row>
    <row r="43" spans="1:28" x14ac:dyDescent="0.15">
      <c r="A43" s="102"/>
      <c r="B43" s="93"/>
      <c r="C43" s="93"/>
      <c r="D43" s="93"/>
      <c r="E43" s="93"/>
      <c r="F43" s="93"/>
      <c r="G43" s="93"/>
      <c r="H43" s="93"/>
      <c r="I43" s="93"/>
      <c r="J43" s="93"/>
      <c r="K43" s="93"/>
      <c r="L43" s="93"/>
      <c r="M43" s="93"/>
      <c r="N43" s="93"/>
      <c r="O43" s="93"/>
      <c r="P43" s="93"/>
      <c r="Q43" s="93"/>
      <c r="R43" s="93"/>
      <c r="S43" s="93"/>
      <c r="T43" s="93"/>
      <c r="U43" s="93"/>
      <c r="V43" s="93"/>
      <c r="W43" s="93"/>
      <c r="X43" s="93"/>
      <c r="Y43" s="103"/>
      <c r="Z43" s="92"/>
    </row>
  </sheetData>
  <mergeCells count="138">
    <mergeCell ref="B38:X38"/>
    <mergeCell ref="C36:F36"/>
    <mergeCell ref="G36:I36"/>
    <mergeCell ref="J36:K36"/>
    <mergeCell ref="U36:X36"/>
    <mergeCell ref="C37:F37"/>
    <mergeCell ref="G37:I37"/>
    <mergeCell ref="J37:K37"/>
    <mergeCell ref="U37:X37"/>
    <mergeCell ref="C34:F34"/>
    <mergeCell ref="G34:I34"/>
    <mergeCell ref="J34:K34"/>
    <mergeCell ref="U34:X34"/>
    <mergeCell ref="C35:F35"/>
    <mergeCell ref="G35:I35"/>
    <mergeCell ref="J35:K35"/>
    <mergeCell ref="U35:X35"/>
    <mergeCell ref="C32:F32"/>
    <mergeCell ref="G32:I32"/>
    <mergeCell ref="J32:K32"/>
    <mergeCell ref="U32:X32"/>
    <mergeCell ref="C33:F33"/>
    <mergeCell ref="G33:I33"/>
    <mergeCell ref="J33:K33"/>
    <mergeCell ref="U33:X33"/>
    <mergeCell ref="C30:F30"/>
    <mergeCell ref="G30:I30"/>
    <mergeCell ref="J30:K30"/>
    <mergeCell ref="U30:X30"/>
    <mergeCell ref="C31:F31"/>
    <mergeCell ref="G31:I31"/>
    <mergeCell ref="J31:K31"/>
    <mergeCell ref="U31:X31"/>
    <mergeCell ref="C28:F28"/>
    <mergeCell ref="G28:I28"/>
    <mergeCell ref="J28:K28"/>
    <mergeCell ref="U28:X28"/>
    <mergeCell ref="C29:F29"/>
    <mergeCell ref="G29:I29"/>
    <mergeCell ref="J29:K29"/>
    <mergeCell ref="U29:X29"/>
    <mergeCell ref="C26:F26"/>
    <mergeCell ref="G26:I26"/>
    <mergeCell ref="J26:K26"/>
    <mergeCell ref="U26:X26"/>
    <mergeCell ref="C27:F27"/>
    <mergeCell ref="G27:I27"/>
    <mergeCell ref="J27:K27"/>
    <mergeCell ref="U27:X27"/>
    <mergeCell ref="C24:F24"/>
    <mergeCell ref="G24:I24"/>
    <mergeCell ref="J24:K24"/>
    <mergeCell ref="U24:X24"/>
    <mergeCell ref="C25:F25"/>
    <mergeCell ref="G25:I25"/>
    <mergeCell ref="J25:K25"/>
    <mergeCell ref="U25:X25"/>
    <mergeCell ref="C22:F22"/>
    <mergeCell ref="G22:I22"/>
    <mergeCell ref="J22:K22"/>
    <mergeCell ref="U22:X22"/>
    <mergeCell ref="C23:F23"/>
    <mergeCell ref="G23:I23"/>
    <mergeCell ref="J23:K23"/>
    <mergeCell ref="U23:X23"/>
    <mergeCell ref="C20:F20"/>
    <mergeCell ref="G20:I20"/>
    <mergeCell ref="J20:K20"/>
    <mergeCell ref="U20:X20"/>
    <mergeCell ref="C21:F21"/>
    <mergeCell ref="G21:I21"/>
    <mergeCell ref="J21:K21"/>
    <mergeCell ref="U21:X21"/>
    <mergeCell ref="C18:F18"/>
    <mergeCell ref="G18:I18"/>
    <mergeCell ref="J18:K18"/>
    <mergeCell ref="U18:X18"/>
    <mergeCell ref="C19:F19"/>
    <mergeCell ref="G19:I19"/>
    <mergeCell ref="J19:K19"/>
    <mergeCell ref="U19:X19"/>
    <mergeCell ref="C16:F16"/>
    <mergeCell ref="G16:I16"/>
    <mergeCell ref="J16:K16"/>
    <mergeCell ref="U16:X16"/>
    <mergeCell ref="C17:F17"/>
    <mergeCell ref="G17:I17"/>
    <mergeCell ref="J17:K17"/>
    <mergeCell ref="U17:X17"/>
    <mergeCell ref="C14:F14"/>
    <mergeCell ref="G14:I14"/>
    <mergeCell ref="J14:K14"/>
    <mergeCell ref="U14:X14"/>
    <mergeCell ref="C15:F15"/>
    <mergeCell ref="G15:I15"/>
    <mergeCell ref="J15:K15"/>
    <mergeCell ref="U15:X15"/>
    <mergeCell ref="C12:F12"/>
    <mergeCell ref="G12:I12"/>
    <mergeCell ref="J12:K12"/>
    <mergeCell ref="U12:X12"/>
    <mergeCell ref="C13:F13"/>
    <mergeCell ref="G13:I13"/>
    <mergeCell ref="J13:K13"/>
    <mergeCell ref="U13:X13"/>
    <mergeCell ref="C10:F10"/>
    <mergeCell ref="G10:I10"/>
    <mergeCell ref="J10:K10"/>
    <mergeCell ref="U10:X10"/>
    <mergeCell ref="C11:F11"/>
    <mergeCell ref="G11:I11"/>
    <mergeCell ref="J11:K11"/>
    <mergeCell ref="U11:X11"/>
    <mergeCell ref="C8:F8"/>
    <mergeCell ref="G8:I8"/>
    <mergeCell ref="J8:K8"/>
    <mergeCell ref="U8:X8"/>
    <mergeCell ref="C9:F9"/>
    <mergeCell ref="G9:I9"/>
    <mergeCell ref="J9:K9"/>
    <mergeCell ref="U9:X9"/>
    <mergeCell ref="W2:Y3"/>
    <mergeCell ref="A3:B3"/>
    <mergeCell ref="G3:I3"/>
    <mergeCell ref="C7:F7"/>
    <mergeCell ref="G7:I7"/>
    <mergeCell ref="J7:K7"/>
    <mergeCell ref="U7:X7"/>
    <mergeCell ref="A1:F2"/>
    <mergeCell ref="G1:I1"/>
    <mergeCell ref="P1:Q1"/>
    <mergeCell ref="R1:T1"/>
    <mergeCell ref="U1:V1"/>
    <mergeCell ref="W1:Y1"/>
    <mergeCell ref="G2:I2"/>
    <mergeCell ref="P2:Q3"/>
    <mergeCell ref="R2:T3"/>
    <mergeCell ref="U2:V3"/>
  </mergeCells>
  <phoneticPr fontId="1"/>
  <conditionalFormatting sqref="J8:K8">
    <cfRule type="expression" dxfId="494" priority="49">
      <formula>ISERROR(AB8)</formula>
    </cfRule>
    <cfRule type="expression" dxfId="493" priority="50">
      <formula>ISBLANK(AB8)</formula>
    </cfRule>
    <cfRule type="expression" dxfId="492" priority="51">
      <formula>AND(J8&lt;&gt;"",AB8&lt;=0)</formula>
    </cfRule>
  </conditionalFormatting>
  <conditionalFormatting sqref="J19:K21 J30:K37">
    <cfRule type="expression" dxfId="491" priority="52">
      <formula>ISERROR(AB19)</formula>
    </cfRule>
    <cfRule type="expression" dxfId="490" priority="53">
      <formula>ISBLANK(AB19)</formula>
    </cfRule>
    <cfRule type="expression" dxfId="489" priority="54">
      <formula>AND(J19&lt;&gt;"",AB19&lt;=0)</formula>
    </cfRule>
  </conditionalFormatting>
  <conditionalFormatting sqref="J25:K26">
    <cfRule type="expression" dxfId="488" priority="37">
      <formula>ISERROR(AB25)</formula>
    </cfRule>
    <cfRule type="expression" dxfId="487" priority="38">
      <formula>ISBLANK(AB25)</formula>
    </cfRule>
    <cfRule type="expression" dxfId="486" priority="39">
      <formula>AND(J25&lt;&gt;"",AB25&lt;=0)</formula>
    </cfRule>
  </conditionalFormatting>
  <conditionalFormatting sqref="J15:K15">
    <cfRule type="expression" dxfId="485" priority="13">
      <formula>ISERROR(AB15)</formula>
    </cfRule>
    <cfRule type="expression" dxfId="484" priority="14">
      <formula>ISBLANK(AB15)</formula>
    </cfRule>
    <cfRule type="expression" dxfId="483" priority="15">
      <formula>AND(J15&lt;&gt;"",AB15&lt;=0)</formula>
    </cfRule>
  </conditionalFormatting>
  <conditionalFormatting sqref="J29:K29">
    <cfRule type="expression" dxfId="482" priority="28">
      <formula>ISERROR(AB29)</formula>
    </cfRule>
    <cfRule type="expression" dxfId="481" priority="29">
      <formula>ISBLANK(AB29)</formula>
    </cfRule>
    <cfRule type="expression" dxfId="480" priority="30">
      <formula>AND(J29&lt;&gt;"",AB29&lt;=0)</formula>
    </cfRule>
  </conditionalFormatting>
  <conditionalFormatting sqref="J18:K18">
    <cfRule type="expression" dxfId="479" priority="46">
      <formula>ISERROR(AB18)</formula>
    </cfRule>
    <cfRule type="expression" dxfId="478" priority="47">
      <formula>ISBLANK(AB18)</formula>
    </cfRule>
    <cfRule type="expression" dxfId="477" priority="48">
      <formula>AND(J18&lt;&gt;"",AB18&lt;=0)</formula>
    </cfRule>
  </conditionalFormatting>
  <conditionalFormatting sqref="J23:K24">
    <cfRule type="expression" dxfId="476" priority="43">
      <formula>ISERROR(AB23)</formula>
    </cfRule>
    <cfRule type="expression" dxfId="475" priority="44">
      <formula>ISBLANK(AB23)</formula>
    </cfRule>
    <cfRule type="expression" dxfId="474" priority="45">
      <formula>AND(J23&lt;&gt;"",AB23&lt;=0)</formula>
    </cfRule>
  </conditionalFormatting>
  <conditionalFormatting sqref="J13:K14">
    <cfRule type="expression" dxfId="473" priority="16">
      <formula>ISERROR(AB13)</formula>
    </cfRule>
    <cfRule type="expression" dxfId="472" priority="17">
      <formula>ISBLANK(AB13)</formula>
    </cfRule>
    <cfRule type="expression" dxfId="471" priority="18">
      <formula>AND(J13&lt;&gt;"",AB13&lt;=0)</formula>
    </cfRule>
  </conditionalFormatting>
  <conditionalFormatting sqref="J17:K17">
    <cfRule type="expression" dxfId="470" priority="10">
      <formula>ISERROR(AB17)</formula>
    </cfRule>
    <cfRule type="expression" dxfId="469" priority="11">
      <formula>ISBLANK(AB17)</formula>
    </cfRule>
    <cfRule type="expression" dxfId="468" priority="12">
      <formula>AND(J17&lt;&gt;"",AB17&lt;=0)</formula>
    </cfRule>
  </conditionalFormatting>
  <conditionalFormatting sqref="J28:K28">
    <cfRule type="expression" dxfId="467" priority="31">
      <formula>ISERROR(AB28)</formula>
    </cfRule>
    <cfRule type="expression" dxfId="466" priority="32">
      <formula>ISBLANK(AB28)</formula>
    </cfRule>
    <cfRule type="expression" dxfId="465" priority="33">
      <formula>AND(J28&lt;&gt;"",AB28&lt;=0)</formula>
    </cfRule>
  </conditionalFormatting>
  <conditionalFormatting sqref="J9:K9">
    <cfRule type="expression" dxfId="464" priority="25">
      <formula>ISERROR(AB9)</formula>
    </cfRule>
    <cfRule type="expression" dxfId="463" priority="26">
      <formula>ISBLANK(AB9)</formula>
    </cfRule>
    <cfRule type="expression" dxfId="462" priority="27">
      <formula>AND(J9&lt;&gt;"",AB9&lt;=0)</formula>
    </cfRule>
  </conditionalFormatting>
  <conditionalFormatting sqref="J22:K22">
    <cfRule type="expression" dxfId="461" priority="40">
      <formula>ISERROR(AB22)</formula>
    </cfRule>
    <cfRule type="expression" dxfId="460" priority="41">
      <formula>ISBLANK(AB22)</formula>
    </cfRule>
    <cfRule type="expression" dxfId="459" priority="42">
      <formula>AND(J22&lt;&gt;"",AB22&lt;=0)</formula>
    </cfRule>
  </conditionalFormatting>
  <conditionalFormatting sqref="J27:K27">
    <cfRule type="expression" dxfId="458" priority="34">
      <formula>ISERROR(AB27)</formula>
    </cfRule>
    <cfRule type="expression" dxfId="457" priority="35">
      <formula>ISBLANK(AB27)</formula>
    </cfRule>
    <cfRule type="expression" dxfId="456" priority="36">
      <formula>AND(J27&lt;&gt;"",AB27&lt;=0)</formula>
    </cfRule>
  </conditionalFormatting>
  <conditionalFormatting sqref="J12:K12">
    <cfRule type="expression" dxfId="455" priority="22">
      <formula>ISERROR(AB12)</formula>
    </cfRule>
    <cfRule type="expression" dxfId="454" priority="23">
      <formula>ISBLANK(AB12)</formula>
    </cfRule>
    <cfRule type="expression" dxfId="453" priority="24">
      <formula>AND(J12&lt;&gt;"",AB12&lt;=0)</formula>
    </cfRule>
  </conditionalFormatting>
  <conditionalFormatting sqref="J16:K16">
    <cfRule type="expression" dxfId="452" priority="7">
      <formula>ISERROR(AB16)</formula>
    </cfRule>
    <cfRule type="expression" dxfId="451" priority="8">
      <formula>ISBLANK(AB16)</formula>
    </cfRule>
    <cfRule type="expression" dxfId="450" priority="9">
      <formula>AND(J16&lt;&gt;"",AB16&lt;=0)</formula>
    </cfRule>
  </conditionalFormatting>
  <conditionalFormatting sqref="J10:K10">
    <cfRule type="expression" dxfId="449" priority="4">
      <formula>ISERROR(AB10)</formula>
    </cfRule>
    <cfRule type="expression" dxfId="448" priority="5">
      <formula>ISBLANK(AB10)</formula>
    </cfRule>
    <cfRule type="expression" dxfId="447" priority="6">
      <formula>AND(J10&lt;&gt;"",AB10&lt;=0)</formula>
    </cfRule>
  </conditionalFormatting>
  <conditionalFormatting sqref="J11:K11">
    <cfRule type="expression" dxfId="446" priority="1">
      <formula>ISERROR(AB11)</formula>
    </cfRule>
    <cfRule type="expression" dxfId="445" priority="2">
      <formula>ISBLANK(AB11)</formula>
    </cfRule>
    <cfRule type="expression" dxfId="444" priority="3">
      <formula>AND(J11&lt;&gt;"",AB11&lt;=0)</formula>
    </cfRule>
  </conditionalFormatting>
  <printOptions horizontalCentered="1"/>
  <pageMargins left="0.23622047244094491" right="0.23622047244094491" top="0.39370078740157483" bottom="0.39370078740157483" header="0" footer="0"/>
  <pageSetup paperSize="9" fitToHeight="0" orientation="landscape" r:id="rId1"/>
  <headerFooter alignWithMargins="0">
    <oddFooter>&amp;L&amp;F&amp;R&amp;P / &amp;N</oddFooter>
  </headerFooter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7FB90B-7403-4069-BEE2-01A1FB74A215}">
  <sheetPr codeName="Sheet20"/>
  <dimension ref="A1:AE43"/>
  <sheetViews>
    <sheetView showGridLines="0" view="pageBreakPreview" zoomScaleNormal="85" zoomScaleSheetLayoutView="100" workbookViewId="0">
      <selection activeCell="G34" sqref="G34:I34"/>
    </sheetView>
  </sheetViews>
  <sheetFormatPr defaultColWidth="5.625" defaultRowHeight="13.5" x14ac:dyDescent="0.15"/>
  <cols>
    <col min="1" max="16" width="5.625" style="12" customWidth="1"/>
    <col min="17" max="25" width="5.625" style="12"/>
    <col min="26" max="26" width="12.75" style="96" bestFit="1" customWidth="1"/>
    <col min="27" max="27" width="12.75" style="12" bestFit="1" customWidth="1"/>
    <col min="28" max="28" width="18.375" style="12" bestFit="1" customWidth="1"/>
    <col min="29" max="238" width="5.625" style="12"/>
    <col min="239" max="254" width="5.625" style="12" customWidth="1"/>
    <col min="255" max="494" width="5.625" style="12"/>
    <col min="495" max="510" width="5.625" style="12" customWidth="1"/>
    <col min="511" max="750" width="5.625" style="12"/>
    <col min="751" max="766" width="5.625" style="12" customWidth="1"/>
    <col min="767" max="1006" width="5.625" style="12"/>
    <col min="1007" max="1022" width="5.625" style="12" customWidth="1"/>
    <col min="1023" max="1262" width="5.625" style="12"/>
    <col min="1263" max="1278" width="5.625" style="12" customWidth="1"/>
    <col min="1279" max="1518" width="5.625" style="12"/>
    <col min="1519" max="1534" width="5.625" style="12" customWidth="1"/>
    <col min="1535" max="1774" width="5.625" style="12"/>
    <col min="1775" max="1790" width="5.625" style="12" customWidth="1"/>
    <col min="1791" max="2030" width="5.625" style="12"/>
    <col min="2031" max="2046" width="5.625" style="12" customWidth="1"/>
    <col min="2047" max="2286" width="5.625" style="12"/>
    <col min="2287" max="2302" width="5.625" style="12" customWidth="1"/>
    <col min="2303" max="2542" width="5.625" style="12"/>
    <col min="2543" max="2558" width="5.625" style="12" customWidth="1"/>
    <col min="2559" max="2798" width="5.625" style="12"/>
    <col min="2799" max="2814" width="5.625" style="12" customWidth="1"/>
    <col min="2815" max="3054" width="5.625" style="12"/>
    <col min="3055" max="3070" width="5.625" style="12" customWidth="1"/>
    <col min="3071" max="3310" width="5.625" style="12"/>
    <col min="3311" max="3326" width="5.625" style="12" customWidth="1"/>
    <col min="3327" max="3566" width="5.625" style="12"/>
    <col min="3567" max="3582" width="5.625" style="12" customWidth="1"/>
    <col min="3583" max="3822" width="5.625" style="12"/>
    <col min="3823" max="3838" width="5.625" style="12" customWidth="1"/>
    <col min="3839" max="4078" width="5.625" style="12"/>
    <col min="4079" max="4094" width="5.625" style="12" customWidth="1"/>
    <col min="4095" max="4334" width="5.625" style="12"/>
    <col min="4335" max="4350" width="5.625" style="12" customWidth="1"/>
    <col min="4351" max="4590" width="5.625" style="12"/>
    <col min="4591" max="4606" width="5.625" style="12" customWidth="1"/>
    <col min="4607" max="4846" width="5.625" style="12"/>
    <col min="4847" max="4862" width="5.625" style="12" customWidth="1"/>
    <col min="4863" max="5102" width="5.625" style="12"/>
    <col min="5103" max="5118" width="5.625" style="12" customWidth="1"/>
    <col min="5119" max="5358" width="5.625" style="12"/>
    <col min="5359" max="5374" width="5.625" style="12" customWidth="1"/>
    <col min="5375" max="5614" width="5.625" style="12"/>
    <col min="5615" max="5630" width="5.625" style="12" customWidth="1"/>
    <col min="5631" max="5870" width="5.625" style="12"/>
    <col min="5871" max="5886" width="5.625" style="12" customWidth="1"/>
    <col min="5887" max="6126" width="5.625" style="12"/>
    <col min="6127" max="6142" width="5.625" style="12" customWidth="1"/>
    <col min="6143" max="6382" width="5.625" style="12"/>
    <col min="6383" max="6398" width="5.625" style="12" customWidth="1"/>
    <col min="6399" max="6638" width="5.625" style="12"/>
    <col min="6639" max="6654" width="5.625" style="12" customWidth="1"/>
    <col min="6655" max="6894" width="5.625" style="12"/>
    <col min="6895" max="6910" width="5.625" style="12" customWidth="1"/>
    <col min="6911" max="7150" width="5.625" style="12"/>
    <col min="7151" max="7166" width="5.625" style="12" customWidth="1"/>
    <col min="7167" max="7406" width="5.625" style="12"/>
    <col min="7407" max="7422" width="5.625" style="12" customWidth="1"/>
    <col min="7423" max="7662" width="5.625" style="12"/>
    <col min="7663" max="7678" width="5.625" style="12" customWidth="1"/>
    <col min="7679" max="7918" width="5.625" style="12"/>
    <col min="7919" max="7934" width="5.625" style="12" customWidth="1"/>
    <col min="7935" max="8174" width="5.625" style="12"/>
    <col min="8175" max="8190" width="5.625" style="12" customWidth="1"/>
    <col min="8191" max="8430" width="5.625" style="12"/>
    <col min="8431" max="8446" width="5.625" style="12" customWidth="1"/>
    <col min="8447" max="8686" width="5.625" style="12"/>
    <col min="8687" max="8702" width="5.625" style="12" customWidth="1"/>
    <col min="8703" max="8942" width="5.625" style="12"/>
    <col min="8943" max="8958" width="5.625" style="12" customWidth="1"/>
    <col min="8959" max="9198" width="5.625" style="12"/>
    <col min="9199" max="9214" width="5.625" style="12" customWidth="1"/>
    <col min="9215" max="9454" width="5.625" style="12"/>
    <col min="9455" max="9470" width="5.625" style="12" customWidth="1"/>
    <col min="9471" max="9710" width="5.625" style="12"/>
    <col min="9711" max="9726" width="5.625" style="12" customWidth="1"/>
    <col min="9727" max="9966" width="5.625" style="12"/>
    <col min="9967" max="9982" width="5.625" style="12" customWidth="1"/>
    <col min="9983" max="10222" width="5.625" style="12"/>
    <col min="10223" max="10238" width="5.625" style="12" customWidth="1"/>
    <col min="10239" max="10478" width="5.625" style="12"/>
    <col min="10479" max="10494" width="5.625" style="12" customWidth="1"/>
    <col min="10495" max="10734" width="5.625" style="12"/>
    <col min="10735" max="10750" width="5.625" style="12" customWidth="1"/>
    <col min="10751" max="10990" width="5.625" style="12"/>
    <col min="10991" max="11006" width="5.625" style="12" customWidth="1"/>
    <col min="11007" max="11246" width="5.625" style="12"/>
    <col min="11247" max="11262" width="5.625" style="12" customWidth="1"/>
    <col min="11263" max="11502" width="5.625" style="12"/>
    <col min="11503" max="11518" width="5.625" style="12" customWidth="1"/>
    <col min="11519" max="11758" width="5.625" style="12"/>
    <col min="11759" max="11774" width="5.625" style="12" customWidth="1"/>
    <col min="11775" max="12014" width="5.625" style="12"/>
    <col min="12015" max="12030" width="5.625" style="12" customWidth="1"/>
    <col min="12031" max="12270" width="5.625" style="12"/>
    <col min="12271" max="12286" width="5.625" style="12" customWidth="1"/>
    <col min="12287" max="12526" width="5.625" style="12"/>
    <col min="12527" max="12542" width="5.625" style="12" customWidth="1"/>
    <col min="12543" max="12782" width="5.625" style="12"/>
    <col min="12783" max="12798" width="5.625" style="12" customWidth="1"/>
    <col min="12799" max="13038" width="5.625" style="12"/>
    <col min="13039" max="13054" width="5.625" style="12" customWidth="1"/>
    <col min="13055" max="13294" width="5.625" style="12"/>
    <col min="13295" max="13310" width="5.625" style="12" customWidth="1"/>
    <col min="13311" max="13550" width="5.625" style="12"/>
    <col min="13551" max="13566" width="5.625" style="12" customWidth="1"/>
    <col min="13567" max="13806" width="5.625" style="12"/>
    <col min="13807" max="13822" width="5.625" style="12" customWidth="1"/>
    <col min="13823" max="14062" width="5.625" style="12"/>
    <col min="14063" max="14078" width="5.625" style="12" customWidth="1"/>
    <col min="14079" max="14318" width="5.625" style="12"/>
    <col min="14319" max="14334" width="5.625" style="12" customWidth="1"/>
    <col min="14335" max="14574" width="5.625" style="12"/>
    <col min="14575" max="14590" width="5.625" style="12" customWidth="1"/>
    <col min="14591" max="14830" width="5.625" style="12"/>
    <col min="14831" max="14846" width="5.625" style="12" customWidth="1"/>
    <col min="14847" max="15086" width="5.625" style="12"/>
    <col min="15087" max="15102" width="5.625" style="12" customWidth="1"/>
    <col min="15103" max="15342" width="5.625" style="12"/>
    <col min="15343" max="15358" width="5.625" style="12" customWidth="1"/>
    <col min="15359" max="15598" width="5.625" style="12"/>
    <col min="15599" max="15614" width="5.625" style="12" customWidth="1"/>
    <col min="15615" max="15854" width="5.625" style="12"/>
    <col min="15855" max="15870" width="5.625" style="12" customWidth="1"/>
    <col min="15871" max="16110" width="5.625" style="12"/>
    <col min="16111" max="16126" width="5.625" style="12" customWidth="1"/>
    <col min="16127" max="16384" width="5.625" style="12"/>
  </cols>
  <sheetData>
    <row r="1" spans="1:31" ht="13.5" customHeight="1" x14ac:dyDescent="0.15">
      <c r="A1" s="260" t="s">
        <v>81</v>
      </c>
      <c r="B1" s="261"/>
      <c r="C1" s="261"/>
      <c r="D1" s="261"/>
      <c r="E1" s="261"/>
      <c r="F1" s="262"/>
      <c r="G1" s="311" t="s">
        <v>5</v>
      </c>
      <c r="H1" s="312"/>
      <c r="I1" s="313"/>
      <c r="J1" s="21"/>
      <c r="K1" s="94"/>
      <c r="L1" s="94"/>
      <c r="M1" s="94"/>
      <c r="N1" s="94"/>
      <c r="O1" s="94"/>
      <c r="P1" s="311" t="s">
        <v>8</v>
      </c>
      <c r="Q1" s="313"/>
      <c r="R1" s="311" t="s">
        <v>7</v>
      </c>
      <c r="S1" s="312"/>
      <c r="T1" s="313"/>
      <c r="U1" s="311" t="s">
        <v>9</v>
      </c>
      <c r="V1" s="313"/>
      <c r="W1" s="311" t="s">
        <v>10</v>
      </c>
      <c r="X1" s="312"/>
      <c r="Y1" s="313"/>
      <c r="Z1" s="107"/>
      <c r="AA1" s="12" t="s">
        <v>128</v>
      </c>
      <c r="AE1" s="12" t="s">
        <v>124</v>
      </c>
    </row>
    <row r="2" spans="1:31" ht="13.5" customHeight="1" x14ac:dyDescent="0.15">
      <c r="A2" s="266"/>
      <c r="B2" s="267"/>
      <c r="C2" s="267"/>
      <c r="D2" s="267"/>
      <c r="E2" s="267"/>
      <c r="F2" s="268"/>
      <c r="G2" s="311" t="s">
        <v>6</v>
      </c>
      <c r="H2" s="312"/>
      <c r="I2" s="313"/>
      <c r="J2" s="21"/>
      <c r="K2" s="95"/>
      <c r="L2" s="95"/>
      <c r="M2" s="95"/>
      <c r="N2" s="95"/>
      <c r="O2" s="95"/>
      <c r="P2" s="246"/>
      <c r="Q2" s="247"/>
      <c r="R2" s="273"/>
      <c r="S2" s="274"/>
      <c r="T2" s="275"/>
      <c r="U2" s="246"/>
      <c r="V2" s="247"/>
      <c r="W2" s="273"/>
      <c r="X2" s="274"/>
      <c r="Y2" s="275"/>
      <c r="Z2" s="107"/>
      <c r="AA2" s="12">
        <f>SUM(AB:AB)</f>
        <v>12</v>
      </c>
    </row>
    <row r="3" spans="1:31" ht="13.5" customHeight="1" x14ac:dyDescent="0.15">
      <c r="A3" s="311" t="s">
        <v>82</v>
      </c>
      <c r="B3" s="312"/>
      <c r="C3" s="21" t="str">
        <f ca="1">RIGHT(CELL("filename",A2),LEN(CELL("filename",A2))-FIND("]",CELL("filename",A2)))</f>
        <v>ﾃﾞｰﾀ種別ID変換</v>
      </c>
      <c r="D3" s="95"/>
      <c r="E3" s="95"/>
      <c r="F3" s="95"/>
      <c r="G3" s="311" t="s">
        <v>83</v>
      </c>
      <c r="H3" s="312"/>
      <c r="I3" s="313"/>
      <c r="J3" s="21" t="s">
        <v>239</v>
      </c>
      <c r="K3" s="95"/>
      <c r="L3" s="95"/>
      <c r="M3" s="95"/>
      <c r="N3" s="95"/>
      <c r="O3" s="95"/>
      <c r="P3" s="248"/>
      <c r="Q3" s="249"/>
      <c r="R3" s="276"/>
      <c r="S3" s="277"/>
      <c r="T3" s="278"/>
      <c r="U3" s="248"/>
      <c r="V3" s="249"/>
      <c r="W3" s="276"/>
      <c r="X3" s="277"/>
      <c r="Y3" s="278"/>
      <c r="Z3" s="107"/>
    </row>
    <row r="4" spans="1:31" x14ac:dyDescent="0.15">
      <c r="A4" s="86"/>
      <c r="B4" s="18"/>
      <c r="C4" s="18"/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  <c r="O4" s="18"/>
      <c r="P4" s="18"/>
      <c r="Q4" s="18"/>
      <c r="R4" s="18"/>
      <c r="S4" s="18"/>
      <c r="T4" s="18"/>
      <c r="U4" s="18"/>
      <c r="V4" s="18"/>
      <c r="W4" s="18"/>
      <c r="X4" s="18"/>
      <c r="Y4" s="18"/>
      <c r="Z4" s="92"/>
    </row>
    <row r="5" spans="1:31" ht="13.5" customHeight="1" x14ac:dyDescent="0.15">
      <c r="A5" s="83" t="s">
        <v>93</v>
      </c>
      <c r="B5" s="84"/>
      <c r="C5" s="84"/>
      <c r="D5" s="84"/>
      <c r="E5" s="84"/>
      <c r="F5" s="84"/>
      <c r="G5" s="84"/>
      <c r="H5" s="84"/>
      <c r="I5" s="84"/>
      <c r="J5" s="84"/>
      <c r="K5" s="84"/>
      <c r="L5" s="84"/>
      <c r="M5" s="84"/>
      <c r="N5" s="84"/>
      <c r="O5" s="84"/>
      <c r="P5" s="84"/>
      <c r="Q5" s="84"/>
      <c r="R5" s="84"/>
      <c r="S5" s="84"/>
      <c r="T5" s="84"/>
      <c r="U5" s="84"/>
      <c r="V5" s="84"/>
      <c r="W5" s="84"/>
      <c r="X5" s="84"/>
      <c r="Y5" s="85"/>
      <c r="Z5" s="92"/>
    </row>
    <row r="6" spans="1:31" x14ac:dyDescent="0.15">
      <c r="A6" s="164"/>
      <c r="B6" s="165"/>
      <c r="C6" s="165"/>
      <c r="D6" s="165"/>
      <c r="E6" s="165"/>
      <c r="F6" s="165"/>
      <c r="G6" s="165"/>
      <c r="H6" s="165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165"/>
      <c r="U6" s="165"/>
      <c r="V6" s="165"/>
      <c r="W6" s="165"/>
      <c r="X6" s="165"/>
      <c r="Y6" s="166"/>
      <c r="Z6" s="92"/>
    </row>
    <row r="7" spans="1:31" x14ac:dyDescent="0.15">
      <c r="A7" s="17"/>
      <c r="B7" s="163" t="s">
        <v>84</v>
      </c>
      <c r="C7" s="311" t="s">
        <v>205</v>
      </c>
      <c r="D7" s="312"/>
      <c r="E7" s="312"/>
      <c r="F7" s="313"/>
      <c r="G7" s="311" t="s">
        <v>83</v>
      </c>
      <c r="H7" s="312"/>
      <c r="I7" s="313"/>
      <c r="J7" s="311" t="s">
        <v>85</v>
      </c>
      <c r="K7" s="313"/>
      <c r="L7" s="97" t="s">
        <v>86</v>
      </c>
      <c r="M7" s="97" t="s">
        <v>87</v>
      </c>
      <c r="N7" s="97" t="s">
        <v>121</v>
      </c>
      <c r="O7" s="97" t="s">
        <v>88</v>
      </c>
      <c r="P7" s="97" t="s">
        <v>89</v>
      </c>
      <c r="Q7" s="97" t="s">
        <v>89</v>
      </c>
      <c r="R7" s="97" t="s">
        <v>89</v>
      </c>
      <c r="S7" s="97" t="s">
        <v>89</v>
      </c>
      <c r="T7" s="97" t="s">
        <v>89</v>
      </c>
      <c r="U7" s="311" t="s">
        <v>90</v>
      </c>
      <c r="V7" s="312"/>
      <c r="W7" s="312"/>
      <c r="X7" s="313"/>
      <c r="Y7" s="98"/>
      <c r="Z7" s="96" t="s">
        <v>126</v>
      </c>
      <c r="AA7" s="12" t="s">
        <v>127</v>
      </c>
      <c r="AB7" s="12" t="s">
        <v>125</v>
      </c>
    </row>
    <row r="8" spans="1:31" x14ac:dyDescent="0.15">
      <c r="A8" s="17"/>
      <c r="B8" s="99" t="s">
        <v>94</v>
      </c>
      <c r="C8" s="301" t="s">
        <v>216</v>
      </c>
      <c r="D8" s="302"/>
      <c r="E8" s="302"/>
      <c r="F8" s="303"/>
      <c r="G8" s="304">
        <v>1</v>
      </c>
      <c r="H8" s="305"/>
      <c r="I8" s="306"/>
      <c r="J8" s="304" t="s">
        <v>91</v>
      </c>
      <c r="K8" s="306"/>
      <c r="L8" s="100">
        <v>1</v>
      </c>
      <c r="M8" s="100"/>
      <c r="N8" s="100"/>
      <c r="O8" s="100"/>
      <c r="P8" s="100"/>
      <c r="Q8" s="100"/>
      <c r="R8" s="100"/>
      <c r="S8" s="100"/>
      <c r="T8" s="100"/>
      <c r="U8" s="307" t="s">
        <v>210</v>
      </c>
      <c r="V8" s="308"/>
      <c r="W8" s="308"/>
      <c r="X8" s="309"/>
      <c r="Y8" s="98"/>
      <c r="Z8" s="106">
        <f t="shared" ref="Z8:Z37" si="0">IF(LEFT(J8,7)="decimal",INT(MID(J8,9,FIND(",",J8,9)-9)),0)</f>
        <v>0</v>
      </c>
      <c r="AA8" s="105">
        <f t="shared" ref="AA8:AA37" si="1">IF(J8="varbinary(max)",2147483647,IF(J8="bit",1,IF(LEFT(J8,4)="char",INT(MID(J8,6,LEN(J8)-6)),IF(LEFT(J8,7)="varchar",INT(MID(J8,9,LEN(J8)-9)+2),IF(LEFT(J8,8)="nvarchar",INT(MID(J8,10,LEN(J8)-10)*2+2),IF(LEFT(J8,7)="decimal",IF(Z8&lt;10,5,IF(Z8&lt;20,9,IF(Z8&lt;29,13,17))),0))))))</f>
        <v>0</v>
      </c>
      <c r="AB8" s="105">
        <f t="shared" ref="AB8:AB37" si="2">IF(AA8&gt;0,AA8,IF(J8="date",3,IF(OR(J8="int",J8="real"),4,IF(J8="time",5,IF(OR(J8="datetime",J8="float",J8="datetime2"),8,IF(J8="uniqueidentifier",16,0))))))</f>
        <v>4</v>
      </c>
    </row>
    <row r="9" spans="1:31" x14ac:dyDescent="0.15">
      <c r="A9" s="101"/>
      <c r="B9" s="99">
        <f>B8+1</f>
        <v>2</v>
      </c>
      <c r="C9" s="301" t="s">
        <v>255</v>
      </c>
      <c r="D9" s="302"/>
      <c r="E9" s="302"/>
      <c r="F9" s="303"/>
      <c r="G9" s="304">
        <v>1</v>
      </c>
      <c r="H9" s="305"/>
      <c r="I9" s="306"/>
      <c r="J9" s="304" t="s">
        <v>214</v>
      </c>
      <c r="K9" s="306"/>
      <c r="L9" s="100"/>
      <c r="M9" s="162" t="s">
        <v>92</v>
      </c>
      <c r="N9" s="100">
        <v>0</v>
      </c>
      <c r="O9" s="100"/>
      <c r="P9" s="100"/>
      <c r="Q9" s="100"/>
      <c r="R9" s="100"/>
      <c r="S9" s="100"/>
      <c r="T9" s="100"/>
      <c r="U9" s="301" t="s">
        <v>274</v>
      </c>
      <c r="V9" s="302"/>
      <c r="W9" s="302"/>
      <c r="X9" s="303"/>
      <c r="Y9" s="98"/>
      <c r="Z9" s="106">
        <f>IF(LEFT(J9,7)="decimal",INT(MID(J9,9,FIND(",",J9,9)-9)),0)</f>
        <v>0</v>
      </c>
      <c r="AA9" s="105">
        <f>IF(J9="varbinary(max)",2147483647,IF(J9="bit",1,IF(LEFT(J9,4)="char",INT(MID(J9,6,LEN(J9)-6)),IF(LEFT(J9,7)="varchar",INT(MID(J9,9,LEN(J9)-9)+2),IF(LEFT(J9,8)="nvarchar",INT(MID(J9,10,LEN(J9)-10)*2+2),IF(LEFT(J9,7)="decimal",IF(Z9&lt;10,5,IF(Z9&lt;20,9,IF(Z9&lt;29,13,17))),0))))))</f>
        <v>0</v>
      </c>
      <c r="AB9" s="105">
        <f>IF(AA9&gt;0,AA9,IF(J9="date",3,IF(OR(J9="int",J9="real"),4,IF(J9="time",5,IF(OR(J9="datetime",J9="float",J9="datetime2"),8,IF(J9="uniqueidentifier",16,0))))))</f>
        <v>4</v>
      </c>
    </row>
    <row r="10" spans="1:31" x14ac:dyDescent="0.15">
      <c r="A10" s="17"/>
      <c r="B10" s="99">
        <f t="shared" ref="B10:B37" si="3">B9+1</f>
        <v>3</v>
      </c>
      <c r="C10" s="301" t="s">
        <v>208</v>
      </c>
      <c r="D10" s="302"/>
      <c r="E10" s="302"/>
      <c r="F10" s="303"/>
      <c r="G10" s="304">
        <v>1</v>
      </c>
      <c r="H10" s="305"/>
      <c r="I10" s="306"/>
      <c r="J10" s="304" t="s">
        <v>91</v>
      </c>
      <c r="K10" s="306"/>
      <c r="L10" s="100"/>
      <c r="M10" s="162" t="s">
        <v>92</v>
      </c>
      <c r="N10" s="100">
        <v>0</v>
      </c>
      <c r="O10" s="100"/>
      <c r="P10" s="100"/>
      <c r="Q10" s="100"/>
      <c r="R10" s="100"/>
      <c r="S10" s="100"/>
      <c r="T10" s="100"/>
      <c r="U10" s="301" t="s">
        <v>274</v>
      </c>
      <c r="V10" s="302"/>
      <c r="W10" s="302"/>
      <c r="X10" s="303"/>
      <c r="Y10" s="98"/>
      <c r="Z10" s="106">
        <f t="shared" si="0"/>
        <v>0</v>
      </c>
      <c r="AA10" s="105">
        <f t="shared" si="1"/>
        <v>0</v>
      </c>
      <c r="AB10" s="105">
        <f t="shared" si="2"/>
        <v>4</v>
      </c>
    </row>
    <row r="11" spans="1:31" x14ac:dyDescent="0.15">
      <c r="A11" s="17"/>
      <c r="B11" s="99">
        <f t="shared" si="3"/>
        <v>4</v>
      </c>
      <c r="C11" s="301"/>
      <c r="D11" s="302"/>
      <c r="E11" s="302"/>
      <c r="F11" s="303"/>
      <c r="G11" s="304"/>
      <c r="H11" s="305"/>
      <c r="I11" s="306"/>
      <c r="J11" s="304"/>
      <c r="K11" s="306"/>
      <c r="L11" s="100"/>
      <c r="M11" s="100"/>
      <c r="N11" s="100"/>
      <c r="O11" s="100"/>
      <c r="P11" s="100"/>
      <c r="Q11" s="100"/>
      <c r="R11" s="100"/>
      <c r="S11" s="100"/>
      <c r="T11" s="100"/>
      <c r="U11" s="301"/>
      <c r="V11" s="302"/>
      <c r="W11" s="302"/>
      <c r="X11" s="303"/>
      <c r="Y11" s="98"/>
      <c r="Z11" s="106">
        <f t="shared" si="0"/>
        <v>0</v>
      </c>
      <c r="AA11" s="105">
        <f t="shared" si="1"/>
        <v>0</v>
      </c>
      <c r="AB11" s="105">
        <f t="shared" si="2"/>
        <v>0</v>
      </c>
    </row>
    <row r="12" spans="1:31" x14ac:dyDescent="0.15">
      <c r="A12" s="17"/>
      <c r="B12" s="99">
        <f t="shared" si="3"/>
        <v>5</v>
      </c>
      <c r="C12" s="301"/>
      <c r="D12" s="302"/>
      <c r="E12" s="302"/>
      <c r="F12" s="303"/>
      <c r="G12" s="304"/>
      <c r="H12" s="305"/>
      <c r="I12" s="306"/>
      <c r="J12" s="304"/>
      <c r="K12" s="306"/>
      <c r="L12" s="100"/>
      <c r="M12" s="100"/>
      <c r="N12" s="100"/>
      <c r="O12" s="100"/>
      <c r="P12" s="100"/>
      <c r="Q12" s="100"/>
      <c r="R12" s="100"/>
      <c r="S12" s="100"/>
      <c r="T12" s="100"/>
      <c r="U12" s="301"/>
      <c r="V12" s="302"/>
      <c r="W12" s="302"/>
      <c r="X12" s="303"/>
      <c r="Y12" s="98"/>
      <c r="Z12" s="106">
        <f t="shared" si="0"/>
        <v>0</v>
      </c>
      <c r="AA12" s="105">
        <f t="shared" si="1"/>
        <v>0</v>
      </c>
      <c r="AB12" s="105">
        <f t="shared" si="2"/>
        <v>0</v>
      </c>
    </row>
    <row r="13" spans="1:31" x14ac:dyDescent="0.15">
      <c r="A13" s="17"/>
      <c r="B13" s="99">
        <f t="shared" si="3"/>
        <v>6</v>
      </c>
      <c r="C13" s="301"/>
      <c r="D13" s="302"/>
      <c r="E13" s="302"/>
      <c r="F13" s="303"/>
      <c r="G13" s="304"/>
      <c r="H13" s="305"/>
      <c r="I13" s="306"/>
      <c r="J13" s="304"/>
      <c r="K13" s="306"/>
      <c r="L13" s="100"/>
      <c r="M13" s="162"/>
      <c r="N13" s="100"/>
      <c r="O13" s="100"/>
      <c r="P13" s="100"/>
      <c r="Q13" s="100"/>
      <c r="R13" s="100"/>
      <c r="S13" s="100"/>
      <c r="T13" s="100"/>
      <c r="U13" s="301"/>
      <c r="V13" s="302"/>
      <c r="W13" s="302"/>
      <c r="X13" s="303"/>
      <c r="Y13" s="98"/>
      <c r="Z13" s="106">
        <f t="shared" si="0"/>
        <v>0</v>
      </c>
      <c r="AA13" s="105">
        <f t="shared" si="1"/>
        <v>0</v>
      </c>
      <c r="AB13" s="105">
        <f t="shared" si="2"/>
        <v>0</v>
      </c>
    </row>
    <row r="14" spans="1:31" x14ac:dyDescent="0.15">
      <c r="A14" s="17"/>
      <c r="B14" s="99">
        <f t="shared" si="3"/>
        <v>7</v>
      </c>
      <c r="C14" s="301"/>
      <c r="D14" s="302"/>
      <c r="E14" s="302"/>
      <c r="F14" s="303"/>
      <c r="G14" s="304"/>
      <c r="H14" s="305"/>
      <c r="I14" s="306"/>
      <c r="J14" s="304"/>
      <c r="K14" s="306"/>
      <c r="L14" s="100"/>
      <c r="M14" s="100"/>
      <c r="N14" s="100"/>
      <c r="O14" s="100"/>
      <c r="P14" s="100"/>
      <c r="Q14" s="100"/>
      <c r="R14" s="100"/>
      <c r="S14" s="100"/>
      <c r="T14" s="100"/>
      <c r="U14" s="301"/>
      <c r="V14" s="302"/>
      <c r="W14" s="302"/>
      <c r="X14" s="303"/>
      <c r="Y14" s="98"/>
      <c r="Z14" s="106">
        <f t="shared" si="0"/>
        <v>0</v>
      </c>
      <c r="AA14" s="105">
        <f t="shared" si="1"/>
        <v>0</v>
      </c>
      <c r="AB14" s="105">
        <f>IF(AA14&gt;0,AA14,IF(J14="date",3,IF(OR(J14="int",J14="real"),4,IF(J14="time",5,IF(OR(J14="datetime",J14="float",J14="datetime2"),8,IF(J14="uniqueidentifier",16,0))))))</f>
        <v>0</v>
      </c>
    </row>
    <row r="15" spans="1:31" x14ac:dyDescent="0.15">
      <c r="A15" s="17"/>
      <c r="B15" s="99">
        <f t="shared" si="3"/>
        <v>8</v>
      </c>
      <c r="C15" s="301"/>
      <c r="D15" s="302"/>
      <c r="E15" s="302"/>
      <c r="F15" s="303"/>
      <c r="G15" s="304"/>
      <c r="H15" s="305"/>
      <c r="I15" s="306"/>
      <c r="J15" s="304"/>
      <c r="K15" s="306"/>
      <c r="L15" s="100"/>
      <c r="M15" s="162"/>
      <c r="N15" s="100"/>
      <c r="O15" s="100"/>
      <c r="P15" s="100"/>
      <c r="Q15" s="100"/>
      <c r="R15" s="100"/>
      <c r="S15" s="100"/>
      <c r="T15" s="100"/>
      <c r="U15" s="301"/>
      <c r="V15" s="302"/>
      <c r="W15" s="302"/>
      <c r="X15" s="303"/>
      <c r="Y15" s="98"/>
      <c r="Z15" s="106">
        <f t="shared" si="0"/>
        <v>0</v>
      </c>
      <c r="AA15" s="105">
        <f t="shared" si="1"/>
        <v>0</v>
      </c>
      <c r="AB15" s="105">
        <f t="shared" si="2"/>
        <v>0</v>
      </c>
    </row>
    <row r="16" spans="1:31" x14ac:dyDescent="0.15">
      <c r="A16" s="101"/>
      <c r="B16" s="99">
        <f t="shared" si="3"/>
        <v>9</v>
      </c>
      <c r="C16" s="301"/>
      <c r="D16" s="302"/>
      <c r="E16" s="302"/>
      <c r="F16" s="303"/>
      <c r="G16" s="304"/>
      <c r="H16" s="305"/>
      <c r="I16" s="306"/>
      <c r="J16" s="304"/>
      <c r="K16" s="306"/>
      <c r="L16" s="100"/>
      <c r="M16" s="162"/>
      <c r="N16" s="100"/>
      <c r="O16" s="100"/>
      <c r="P16" s="100"/>
      <c r="Q16" s="100"/>
      <c r="R16" s="100"/>
      <c r="S16" s="100"/>
      <c r="T16" s="100"/>
      <c r="U16" s="301"/>
      <c r="V16" s="302"/>
      <c r="W16" s="302"/>
      <c r="X16" s="303"/>
      <c r="Y16" s="98"/>
      <c r="Z16" s="106">
        <f t="shared" si="0"/>
        <v>0</v>
      </c>
      <c r="AA16" s="105">
        <f t="shared" si="1"/>
        <v>0</v>
      </c>
      <c r="AB16" s="105">
        <f t="shared" si="2"/>
        <v>0</v>
      </c>
    </row>
    <row r="17" spans="1:28" x14ac:dyDescent="0.15">
      <c r="A17" s="101"/>
      <c r="B17" s="99">
        <f t="shared" si="3"/>
        <v>10</v>
      </c>
      <c r="C17" s="301"/>
      <c r="D17" s="302"/>
      <c r="E17" s="302"/>
      <c r="F17" s="303"/>
      <c r="G17" s="304"/>
      <c r="H17" s="305"/>
      <c r="I17" s="306"/>
      <c r="J17" s="304"/>
      <c r="K17" s="306"/>
      <c r="L17" s="100"/>
      <c r="M17" s="162"/>
      <c r="N17" s="100"/>
      <c r="O17" s="100"/>
      <c r="P17" s="100"/>
      <c r="Q17" s="100"/>
      <c r="R17" s="100"/>
      <c r="S17" s="100"/>
      <c r="T17" s="100"/>
      <c r="U17" s="301"/>
      <c r="V17" s="302"/>
      <c r="W17" s="302"/>
      <c r="X17" s="303"/>
      <c r="Y17" s="98"/>
      <c r="Z17" s="106">
        <f t="shared" si="0"/>
        <v>0</v>
      </c>
      <c r="AA17" s="105">
        <f t="shared" si="1"/>
        <v>0</v>
      </c>
      <c r="AB17" s="105">
        <f t="shared" si="2"/>
        <v>0</v>
      </c>
    </row>
    <row r="18" spans="1:28" x14ac:dyDescent="0.15">
      <c r="A18" s="101"/>
      <c r="B18" s="99">
        <f t="shared" si="3"/>
        <v>11</v>
      </c>
      <c r="C18" s="301"/>
      <c r="D18" s="302"/>
      <c r="E18" s="302"/>
      <c r="F18" s="303"/>
      <c r="G18" s="304"/>
      <c r="H18" s="305"/>
      <c r="I18" s="306"/>
      <c r="J18" s="304"/>
      <c r="K18" s="306"/>
      <c r="L18" s="100"/>
      <c r="M18" s="100"/>
      <c r="N18" s="100"/>
      <c r="O18" s="100"/>
      <c r="P18" s="100"/>
      <c r="Q18" s="100"/>
      <c r="R18" s="100"/>
      <c r="S18" s="100"/>
      <c r="T18" s="100"/>
      <c r="U18" s="301"/>
      <c r="V18" s="302"/>
      <c r="W18" s="302"/>
      <c r="X18" s="303"/>
      <c r="Y18" s="98"/>
      <c r="Z18" s="106">
        <f t="shared" si="0"/>
        <v>0</v>
      </c>
      <c r="AA18" s="105">
        <f t="shared" si="1"/>
        <v>0</v>
      </c>
      <c r="AB18" s="105">
        <f t="shared" si="2"/>
        <v>0</v>
      </c>
    </row>
    <row r="19" spans="1:28" x14ac:dyDescent="0.15">
      <c r="A19" s="101"/>
      <c r="B19" s="99">
        <f t="shared" si="3"/>
        <v>12</v>
      </c>
      <c r="C19" s="301"/>
      <c r="D19" s="302"/>
      <c r="E19" s="302"/>
      <c r="F19" s="303"/>
      <c r="G19" s="304"/>
      <c r="H19" s="305"/>
      <c r="I19" s="306"/>
      <c r="J19" s="304"/>
      <c r="K19" s="306"/>
      <c r="L19" s="100"/>
      <c r="M19" s="100"/>
      <c r="N19" s="100"/>
      <c r="O19" s="100"/>
      <c r="P19" s="100"/>
      <c r="Q19" s="100"/>
      <c r="R19" s="100"/>
      <c r="S19" s="100"/>
      <c r="T19" s="100"/>
      <c r="U19" s="301"/>
      <c r="V19" s="302"/>
      <c r="W19" s="302"/>
      <c r="X19" s="303"/>
      <c r="Y19" s="98"/>
      <c r="Z19" s="106">
        <f t="shared" si="0"/>
        <v>0</v>
      </c>
      <c r="AA19" s="105">
        <f t="shared" si="1"/>
        <v>0</v>
      </c>
      <c r="AB19" s="105">
        <f t="shared" si="2"/>
        <v>0</v>
      </c>
    </row>
    <row r="20" spans="1:28" x14ac:dyDescent="0.15">
      <c r="A20" s="101"/>
      <c r="B20" s="99">
        <f t="shared" si="3"/>
        <v>13</v>
      </c>
      <c r="C20" s="301"/>
      <c r="D20" s="302"/>
      <c r="E20" s="302"/>
      <c r="F20" s="303"/>
      <c r="G20" s="304"/>
      <c r="H20" s="305"/>
      <c r="I20" s="306"/>
      <c r="J20" s="304"/>
      <c r="K20" s="306"/>
      <c r="L20" s="100"/>
      <c r="M20" s="100"/>
      <c r="N20" s="100"/>
      <c r="O20" s="100"/>
      <c r="P20" s="100"/>
      <c r="Q20" s="100"/>
      <c r="R20" s="100"/>
      <c r="S20" s="100"/>
      <c r="T20" s="100"/>
      <c r="U20" s="301"/>
      <c r="V20" s="302"/>
      <c r="W20" s="302"/>
      <c r="X20" s="303"/>
      <c r="Y20" s="98"/>
      <c r="Z20" s="106">
        <f t="shared" si="0"/>
        <v>0</v>
      </c>
      <c r="AA20" s="105">
        <f t="shared" si="1"/>
        <v>0</v>
      </c>
      <c r="AB20" s="105">
        <f t="shared" si="2"/>
        <v>0</v>
      </c>
    </row>
    <row r="21" spans="1:28" x14ac:dyDescent="0.15">
      <c r="A21" s="101"/>
      <c r="B21" s="99">
        <f t="shared" si="3"/>
        <v>14</v>
      </c>
      <c r="C21" s="301"/>
      <c r="D21" s="302"/>
      <c r="E21" s="302"/>
      <c r="F21" s="303"/>
      <c r="G21" s="304"/>
      <c r="H21" s="305"/>
      <c r="I21" s="306"/>
      <c r="J21" s="304"/>
      <c r="K21" s="306"/>
      <c r="L21" s="100"/>
      <c r="M21" s="100"/>
      <c r="N21" s="100"/>
      <c r="O21" s="100"/>
      <c r="P21" s="100"/>
      <c r="Q21" s="100"/>
      <c r="R21" s="100"/>
      <c r="S21" s="100"/>
      <c r="T21" s="100"/>
      <c r="U21" s="301"/>
      <c r="V21" s="302"/>
      <c r="W21" s="302"/>
      <c r="X21" s="303"/>
      <c r="Y21" s="98"/>
      <c r="Z21" s="106">
        <f t="shared" si="0"/>
        <v>0</v>
      </c>
      <c r="AA21" s="105">
        <f t="shared" si="1"/>
        <v>0</v>
      </c>
      <c r="AB21" s="105">
        <f t="shared" si="2"/>
        <v>0</v>
      </c>
    </row>
    <row r="22" spans="1:28" x14ac:dyDescent="0.15">
      <c r="A22" s="101"/>
      <c r="B22" s="99">
        <f t="shared" si="3"/>
        <v>15</v>
      </c>
      <c r="C22" s="301"/>
      <c r="D22" s="302"/>
      <c r="E22" s="302"/>
      <c r="F22" s="303"/>
      <c r="G22" s="304"/>
      <c r="H22" s="305"/>
      <c r="I22" s="306"/>
      <c r="J22" s="304"/>
      <c r="K22" s="306"/>
      <c r="L22" s="100"/>
      <c r="M22" s="162"/>
      <c r="N22" s="100"/>
      <c r="O22" s="100"/>
      <c r="P22" s="100"/>
      <c r="Q22" s="100"/>
      <c r="R22" s="100"/>
      <c r="S22" s="100"/>
      <c r="T22" s="100"/>
      <c r="U22" s="301"/>
      <c r="V22" s="302"/>
      <c r="W22" s="302"/>
      <c r="X22" s="303"/>
      <c r="Y22" s="98"/>
      <c r="Z22" s="106">
        <f t="shared" si="0"/>
        <v>0</v>
      </c>
      <c r="AA22" s="105">
        <f t="shared" si="1"/>
        <v>0</v>
      </c>
      <c r="AB22" s="105">
        <f t="shared" si="2"/>
        <v>0</v>
      </c>
    </row>
    <row r="23" spans="1:28" x14ac:dyDescent="0.15">
      <c r="A23" s="101"/>
      <c r="B23" s="99">
        <f t="shared" si="3"/>
        <v>16</v>
      </c>
      <c r="C23" s="301"/>
      <c r="D23" s="302"/>
      <c r="E23" s="302"/>
      <c r="F23" s="303"/>
      <c r="G23" s="304"/>
      <c r="H23" s="305"/>
      <c r="I23" s="306"/>
      <c r="J23" s="304"/>
      <c r="K23" s="306"/>
      <c r="L23" s="100"/>
      <c r="M23" s="100"/>
      <c r="N23" s="100"/>
      <c r="O23" s="100"/>
      <c r="P23" s="100"/>
      <c r="Q23" s="100"/>
      <c r="R23" s="100"/>
      <c r="S23" s="100"/>
      <c r="T23" s="100"/>
      <c r="U23" s="301"/>
      <c r="V23" s="302"/>
      <c r="W23" s="302"/>
      <c r="X23" s="303"/>
      <c r="Y23" s="98"/>
      <c r="Z23" s="106">
        <f t="shared" si="0"/>
        <v>0</v>
      </c>
      <c r="AA23" s="105">
        <f t="shared" si="1"/>
        <v>0</v>
      </c>
      <c r="AB23" s="105">
        <f t="shared" si="2"/>
        <v>0</v>
      </c>
    </row>
    <row r="24" spans="1:28" x14ac:dyDescent="0.15">
      <c r="A24" s="101"/>
      <c r="B24" s="99">
        <f t="shared" si="3"/>
        <v>17</v>
      </c>
      <c r="C24" s="301"/>
      <c r="D24" s="302"/>
      <c r="E24" s="302"/>
      <c r="F24" s="303"/>
      <c r="G24" s="304"/>
      <c r="H24" s="305"/>
      <c r="I24" s="306"/>
      <c r="J24" s="304"/>
      <c r="K24" s="306"/>
      <c r="L24" s="100"/>
      <c r="M24" s="100"/>
      <c r="N24" s="100"/>
      <c r="O24" s="100"/>
      <c r="P24" s="100"/>
      <c r="Q24" s="100"/>
      <c r="R24" s="100"/>
      <c r="S24" s="100"/>
      <c r="T24" s="100"/>
      <c r="U24" s="301"/>
      <c r="V24" s="302"/>
      <c r="W24" s="302"/>
      <c r="X24" s="303"/>
      <c r="Y24" s="98"/>
      <c r="Z24" s="106">
        <f t="shared" si="0"/>
        <v>0</v>
      </c>
      <c r="AA24" s="105">
        <f t="shared" si="1"/>
        <v>0</v>
      </c>
      <c r="AB24" s="105">
        <f t="shared" si="2"/>
        <v>0</v>
      </c>
    </row>
    <row r="25" spans="1:28" x14ac:dyDescent="0.15">
      <c r="A25" s="101"/>
      <c r="B25" s="99">
        <f t="shared" si="3"/>
        <v>18</v>
      </c>
      <c r="C25" s="301"/>
      <c r="D25" s="302"/>
      <c r="E25" s="302"/>
      <c r="F25" s="303"/>
      <c r="G25" s="304"/>
      <c r="H25" s="305"/>
      <c r="I25" s="306"/>
      <c r="J25" s="304"/>
      <c r="K25" s="306"/>
      <c r="L25" s="100"/>
      <c r="M25" s="162"/>
      <c r="N25" s="100"/>
      <c r="O25" s="100"/>
      <c r="P25" s="100"/>
      <c r="Q25" s="100"/>
      <c r="R25" s="100"/>
      <c r="S25" s="100"/>
      <c r="T25" s="100"/>
      <c r="U25" s="301"/>
      <c r="V25" s="302"/>
      <c r="W25" s="302"/>
      <c r="X25" s="303"/>
      <c r="Y25" s="98"/>
      <c r="Z25" s="106">
        <f t="shared" si="0"/>
        <v>0</v>
      </c>
      <c r="AA25" s="105">
        <f t="shared" si="1"/>
        <v>0</v>
      </c>
      <c r="AB25" s="105">
        <f t="shared" si="2"/>
        <v>0</v>
      </c>
    </row>
    <row r="26" spans="1:28" x14ac:dyDescent="0.15">
      <c r="A26" s="101"/>
      <c r="B26" s="99">
        <f t="shared" si="3"/>
        <v>19</v>
      </c>
      <c r="C26" s="301"/>
      <c r="D26" s="302"/>
      <c r="E26" s="302"/>
      <c r="F26" s="303"/>
      <c r="G26" s="304"/>
      <c r="H26" s="305"/>
      <c r="I26" s="306"/>
      <c r="J26" s="304"/>
      <c r="K26" s="306"/>
      <c r="L26" s="100"/>
      <c r="M26" s="100"/>
      <c r="N26" s="100"/>
      <c r="O26" s="100"/>
      <c r="P26" s="100"/>
      <c r="Q26" s="100"/>
      <c r="R26" s="100"/>
      <c r="S26" s="100"/>
      <c r="T26" s="100"/>
      <c r="U26" s="301"/>
      <c r="V26" s="302"/>
      <c r="W26" s="302"/>
      <c r="X26" s="303"/>
      <c r="Y26" s="98"/>
      <c r="Z26" s="106">
        <f t="shared" si="0"/>
        <v>0</v>
      </c>
      <c r="AA26" s="105">
        <f t="shared" si="1"/>
        <v>0</v>
      </c>
      <c r="AB26" s="105">
        <f t="shared" si="2"/>
        <v>0</v>
      </c>
    </row>
    <row r="27" spans="1:28" x14ac:dyDescent="0.15">
      <c r="A27" s="101"/>
      <c r="B27" s="99">
        <f t="shared" si="3"/>
        <v>20</v>
      </c>
      <c r="C27" s="301"/>
      <c r="D27" s="302"/>
      <c r="E27" s="302"/>
      <c r="F27" s="303"/>
      <c r="G27" s="304"/>
      <c r="H27" s="305"/>
      <c r="I27" s="306"/>
      <c r="J27" s="304"/>
      <c r="K27" s="306"/>
      <c r="L27" s="100"/>
      <c r="M27" s="162"/>
      <c r="N27" s="100"/>
      <c r="O27" s="100"/>
      <c r="P27" s="100"/>
      <c r="Q27" s="100"/>
      <c r="R27" s="100"/>
      <c r="S27" s="100"/>
      <c r="T27" s="100"/>
      <c r="U27" s="301"/>
      <c r="V27" s="302"/>
      <c r="W27" s="302"/>
      <c r="X27" s="303"/>
      <c r="Y27" s="98"/>
      <c r="Z27" s="106">
        <f t="shared" si="0"/>
        <v>0</v>
      </c>
      <c r="AA27" s="105">
        <f t="shared" si="1"/>
        <v>0</v>
      </c>
      <c r="AB27" s="105">
        <f t="shared" si="2"/>
        <v>0</v>
      </c>
    </row>
    <row r="28" spans="1:28" x14ac:dyDescent="0.15">
      <c r="A28" s="101"/>
      <c r="B28" s="99">
        <f t="shared" si="3"/>
        <v>21</v>
      </c>
      <c r="C28" s="301"/>
      <c r="D28" s="302"/>
      <c r="E28" s="302"/>
      <c r="F28" s="303"/>
      <c r="G28" s="304"/>
      <c r="H28" s="305"/>
      <c r="I28" s="306"/>
      <c r="J28" s="304"/>
      <c r="K28" s="306"/>
      <c r="L28" s="100"/>
      <c r="M28" s="162"/>
      <c r="N28" s="100"/>
      <c r="O28" s="100"/>
      <c r="P28" s="100"/>
      <c r="Q28" s="100"/>
      <c r="R28" s="100"/>
      <c r="S28" s="100"/>
      <c r="T28" s="100"/>
      <c r="U28" s="301"/>
      <c r="V28" s="302"/>
      <c r="W28" s="302"/>
      <c r="X28" s="303"/>
      <c r="Y28" s="98"/>
      <c r="Z28" s="106">
        <f t="shared" si="0"/>
        <v>0</v>
      </c>
      <c r="AA28" s="105">
        <f t="shared" si="1"/>
        <v>0</v>
      </c>
      <c r="AB28" s="105">
        <f t="shared" si="2"/>
        <v>0</v>
      </c>
    </row>
    <row r="29" spans="1:28" x14ac:dyDescent="0.15">
      <c r="A29" s="101"/>
      <c r="B29" s="99">
        <f t="shared" si="3"/>
        <v>22</v>
      </c>
      <c r="C29" s="301"/>
      <c r="D29" s="302"/>
      <c r="E29" s="302"/>
      <c r="F29" s="303"/>
      <c r="G29" s="304"/>
      <c r="H29" s="305"/>
      <c r="I29" s="306"/>
      <c r="J29" s="304"/>
      <c r="K29" s="306"/>
      <c r="L29" s="100"/>
      <c r="M29" s="100"/>
      <c r="N29" s="100"/>
      <c r="O29" s="100"/>
      <c r="P29" s="100"/>
      <c r="Q29" s="100"/>
      <c r="R29" s="100"/>
      <c r="S29" s="100"/>
      <c r="T29" s="100"/>
      <c r="U29" s="301"/>
      <c r="V29" s="302"/>
      <c r="W29" s="302"/>
      <c r="X29" s="303"/>
      <c r="Y29" s="98"/>
      <c r="Z29" s="106">
        <f t="shared" si="0"/>
        <v>0</v>
      </c>
      <c r="AA29" s="105">
        <f t="shared" si="1"/>
        <v>0</v>
      </c>
      <c r="AB29" s="105">
        <f t="shared" si="2"/>
        <v>0</v>
      </c>
    </row>
    <row r="30" spans="1:28" x14ac:dyDescent="0.15">
      <c r="A30" s="101"/>
      <c r="B30" s="99">
        <f t="shared" si="3"/>
        <v>23</v>
      </c>
      <c r="C30" s="301"/>
      <c r="D30" s="302"/>
      <c r="E30" s="302"/>
      <c r="F30" s="303"/>
      <c r="G30" s="304"/>
      <c r="H30" s="305"/>
      <c r="I30" s="306"/>
      <c r="J30" s="304"/>
      <c r="K30" s="306"/>
      <c r="L30" s="100"/>
      <c r="M30" s="100"/>
      <c r="N30" s="100"/>
      <c r="O30" s="100"/>
      <c r="P30" s="100"/>
      <c r="Q30" s="100"/>
      <c r="R30" s="100"/>
      <c r="S30" s="100"/>
      <c r="T30" s="100"/>
      <c r="U30" s="301"/>
      <c r="V30" s="302"/>
      <c r="W30" s="302"/>
      <c r="X30" s="303"/>
      <c r="Y30" s="98"/>
      <c r="Z30" s="106">
        <f t="shared" si="0"/>
        <v>0</v>
      </c>
      <c r="AA30" s="105">
        <f t="shared" si="1"/>
        <v>0</v>
      </c>
      <c r="AB30" s="105">
        <f t="shared" si="2"/>
        <v>0</v>
      </c>
    </row>
    <row r="31" spans="1:28" x14ac:dyDescent="0.15">
      <c r="A31" s="101"/>
      <c r="B31" s="99">
        <f t="shared" si="3"/>
        <v>24</v>
      </c>
      <c r="C31" s="301"/>
      <c r="D31" s="302"/>
      <c r="E31" s="302"/>
      <c r="F31" s="303"/>
      <c r="G31" s="304"/>
      <c r="H31" s="305"/>
      <c r="I31" s="306"/>
      <c r="J31" s="304"/>
      <c r="K31" s="306"/>
      <c r="L31" s="100"/>
      <c r="M31" s="100"/>
      <c r="N31" s="100"/>
      <c r="O31" s="100"/>
      <c r="P31" s="100"/>
      <c r="Q31" s="100"/>
      <c r="R31" s="100"/>
      <c r="S31" s="100"/>
      <c r="T31" s="100"/>
      <c r="U31" s="301"/>
      <c r="V31" s="302"/>
      <c r="W31" s="302"/>
      <c r="X31" s="303"/>
      <c r="Y31" s="98"/>
      <c r="Z31" s="106">
        <f t="shared" si="0"/>
        <v>0</v>
      </c>
      <c r="AA31" s="105">
        <f t="shared" si="1"/>
        <v>0</v>
      </c>
      <c r="AB31" s="105">
        <f t="shared" si="2"/>
        <v>0</v>
      </c>
    </row>
    <row r="32" spans="1:28" x14ac:dyDescent="0.15">
      <c r="A32" s="101"/>
      <c r="B32" s="99">
        <f t="shared" si="3"/>
        <v>25</v>
      </c>
      <c r="C32" s="301"/>
      <c r="D32" s="302"/>
      <c r="E32" s="302"/>
      <c r="F32" s="303"/>
      <c r="G32" s="304"/>
      <c r="H32" s="305"/>
      <c r="I32" s="306"/>
      <c r="J32" s="304"/>
      <c r="K32" s="306"/>
      <c r="L32" s="100"/>
      <c r="M32" s="100"/>
      <c r="N32" s="100"/>
      <c r="O32" s="100"/>
      <c r="P32" s="100"/>
      <c r="Q32" s="100"/>
      <c r="R32" s="100"/>
      <c r="S32" s="100"/>
      <c r="T32" s="100"/>
      <c r="U32" s="301"/>
      <c r="V32" s="302"/>
      <c r="W32" s="302"/>
      <c r="X32" s="303"/>
      <c r="Y32" s="98"/>
      <c r="Z32" s="106">
        <f t="shared" si="0"/>
        <v>0</v>
      </c>
      <c r="AA32" s="105">
        <f t="shared" si="1"/>
        <v>0</v>
      </c>
      <c r="AB32" s="105">
        <f t="shared" si="2"/>
        <v>0</v>
      </c>
    </row>
    <row r="33" spans="1:28" x14ac:dyDescent="0.15">
      <c r="A33" s="101"/>
      <c r="B33" s="99">
        <f t="shared" si="3"/>
        <v>26</v>
      </c>
      <c r="C33" s="301"/>
      <c r="D33" s="302"/>
      <c r="E33" s="302"/>
      <c r="F33" s="303"/>
      <c r="G33" s="304"/>
      <c r="H33" s="305"/>
      <c r="I33" s="306"/>
      <c r="J33" s="304"/>
      <c r="K33" s="306"/>
      <c r="L33" s="100"/>
      <c r="M33" s="100"/>
      <c r="N33" s="100"/>
      <c r="O33" s="100"/>
      <c r="P33" s="100"/>
      <c r="Q33" s="100"/>
      <c r="R33" s="100"/>
      <c r="S33" s="100"/>
      <c r="T33" s="100"/>
      <c r="U33" s="301"/>
      <c r="V33" s="302"/>
      <c r="W33" s="302"/>
      <c r="X33" s="303"/>
      <c r="Y33" s="98"/>
      <c r="Z33" s="106">
        <f t="shared" si="0"/>
        <v>0</v>
      </c>
      <c r="AA33" s="105">
        <f t="shared" si="1"/>
        <v>0</v>
      </c>
      <c r="AB33" s="105">
        <f t="shared" si="2"/>
        <v>0</v>
      </c>
    </row>
    <row r="34" spans="1:28" x14ac:dyDescent="0.15">
      <c r="A34" s="101"/>
      <c r="B34" s="99">
        <f t="shared" si="3"/>
        <v>27</v>
      </c>
      <c r="C34" s="301"/>
      <c r="D34" s="302"/>
      <c r="E34" s="302"/>
      <c r="F34" s="303"/>
      <c r="G34" s="304"/>
      <c r="H34" s="305"/>
      <c r="I34" s="306"/>
      <c r="J34" s="304"/>
      <c r="K34" s="306"/>
      <c r="L34" s="100"/>
      <c r="M34" s="100"/>
      <c r="N34" s="100"/>
      <c r="O34" s="100"/>
      <c r="P34" s="100"/>
      <c r="Q34" s="100"/>
      <c r="R34" s="100"/>
      <c r="S34" s="100"/>
      <c r="T34" s="100"/>
      <c r="U34" s="301"/>
      <c r="V34" s="302"/>
      <c r="W34" s="302"/>
      <c r="X34" s="303"/>
      <c r="Y34" s="98"/>
      <c r="Z34" s="106">
        <f t="shared" si="0"/>
        <v>0</v>
      </c>
      <c r="AA34" s="105">
        <f t="shared" si="1"/>
        <v>0</v>
      </c>
      <c r="AB34" s="105">
        <f t="shared" si="2"/>
        <v>0</v>
      </c>
    </row>
    <row r="35" spans="1:28" x14ac:dyDescent="0.15">
      <c r="A35" s="101"/>
      <c r="B35" s="99">
        <f t="shared" si="3"/>
        <v>28</v>
      </c>
      <c r="C35" s="301"/>
      <c r="D35" s="302"/>
      <c r="E35" s="302"/>
      <c r="F35" s="303"/>
      <c r="G35" s="304"/>
      <c r="H35" s="305"/>
      <c r="I35" s="306"/>
      <c r="J35" s="304"/>
      <c r="K35" s="306"/>
      <c r="L35" s="100"/>
      <c r="M35" s="100"/>
      <c r="N35" s="100"/>
      <c r="O35" s="100"/>
      <c r="P35" s="100"/>
      <c r="Q35" s="100"/>
      <c r="R35" s="100"/>
      <c r="S35" s="100"/>
      <c r="T35" s="100"/>
      <c r="U35" s="301"/>
      <c r="V35" s="302"/>
      <c r="W35" s="302"/>
      <c r="X35" s="303"/>
      <c r="Y35" s="98"/>
      <c r="Z35" s="106">
        <f t="shared" si="0"/>
        <v>0</v>
      </c>
      <c r="AA35" s="105">
        <f t="shared" si="1"/>
        <v>0</v>
      </c>
      <c r="AB35" s="105">
        <f t="shared" si="2"/>
        <v>0</v>
      </c>
    </row>
    <row r="36" spans="1:28" x14ac:dyDescent="0.15">
      <c r="A36" s="101"/>
      <c r="B36" s="99">
        <f t="shared" si="3"/>
        <v>29</v>
      </c>
      <c r="C36" s="301"/>
      <c r="D36" s="302"/>
      <c r="E36" s="302"/>
      <c r="F36" s="303"/>
      <c r="G36" s="304"/>
      <c r="H36" s="305"/>
      <c r="I36" s="306"/>
      <c r="J36" s="304"/>
      <c r="K36" s="306"/>
      <c r="L36" s="100"/>
      <c r="M36" s="100"/>
      <c r="N36" s="100"/>
      <c r="O36" s="100"/>
      <c r="P36" s="100"/>
      <c r="Q36" s="100"/>
      <c r="R36" s="100"/>
      <c r="S36" s="100"/>
      <c r="T36" s="100"/>
      <c r="U36" s="301"/>
      <c r="V36" s="302"/>
      <c r="W36" s="302"/>
      <c r="X36" s="303"/>
      <c r="Y36" s="98"/>
      <c r="Z36" s="106">
        <f t="shared" si="0"/>
        <v>0</v>
      </c>
      <c r="AA36" s="105">
        <f t="shared" si="1"/>
        <v>0</v>
      </c>
      <c r="AB36" s="105">
        <f t="shared" si="2"/>
        <v>0</v>
      </c>
    </row>
    <row r="37" spans="1:28" x14ac:dyDescent="0.15">
      <c r="A37" s="101"/>
      <c r="B37" s="99">
        <f t="shared" si="3"/>
        <v>30</v>
      </c>
      <c r="C37" s="301"/>
      <c r="D37" s="302"/>
      <c r="E37" s="302"/>
      <c r="F37" s="303"/>
      <c r="G37" s="304"/>
      <c r="H37" s="305"/>
      <c r="I37" s="306"/>
      <c r="J37" s="304"/>
      <c r="K37" s="306"/>
      <c r="L37" s="100"/>
      <c r="M37" s="100"/>
      <c r="N37" s="100"/>
      <c r="O37" s="100"/>
      <c r="P37" s="100"/>
      <c r="Q37" s="100"/>
      <c r="R37" s="100"/>
      <c r="S37" s="100"/>
      <c r="T37" s="100"/>
      <c r="U37" s="301"/>
      <c r="V37" s="302"/>
      <c r="W37" s="302"/>
      <c r="X37" s="303"/>
      <c r="Y37" s="98"/>
      <c r="Z37" s="106">
        <f t="shared" si="0"/>
        <v>0</v>
      </c>
      <c r="AA37" s="105">
        <f t="shared" si="1"/>
        <v>0</v>
      </c>
      <c r="AB37" s="105">
        <f t="shared" si="2"/>
        <v>0</v>
      </c>
    </row>
    <row r="38" spans="1:28" x14ac:dyDescent="0.15">
      <c r="A38" s="101"/>
      <c r="B38" s="298" t="s">
        <v>122</v>
      </c>
      <c r="C38" s="299"/>
      <c r="D38" s="299"/>
      <c r="E38" s="299"/>
      <c r="F38" s="299"/>
      <c r="G38" s="299"/>
      <c r="H38" s="299"/>
      <c r="I38" s="299"/>
      <c r="J38" s="299"/>
      <c r="K38" s="299"/>
      <c r="L38" s="299"/>
      <c r="M38" s="299"/>
      <c r="N38" s="299"/>
      <c r="O38" s="299"/>
      <c r="P38" s="299"/>
      <c r="Q38" s="299"/>
      <c r="R38" s="299"/>
      <c r="S38" s="299"/>
      <c r="T38" s="299"/>
      <c r="U38" s="299"/>
      <c r="V38" s="299"/>
      <c r="W38" s="299"/>
      <c r="X38" s="300"/>
      <c r="Y38" s="98"/>
      <c r="Z38" s="92"/>
    </row>
    <row r="39" spans="1:28" x14ac:dyDescent="0.15">
      <c r="A39" s="101"/>
      <c r="B39" s="101" t="s">
        <v>273</v>
      </c>
      <c r="C39" s="92"/>
      <c r="D39" s="92"/>
      <c r="E39" s="92"/>
      <c r="F39" s="92"/>
      <c r="G39" s="92"/>
      <c r="H39" s="92"/>
      <c r="I39" s="92"/>
      <c r="J39" s="92"/>
      <c r="K39" s="92"/>
      <c r="L39" s="92"/>
      <c r="M39" s="92"/>
      <c r="N39" s="92"/>
      <c r="O39" s="92"/>
      <c r="P39" s="92"/>
      <c r="Q39" s="92"/>
      <c r="R39" s="92"/>
      <c r="S39" s="92"/>
      <c r="T39" s="92"/>
      <c r="U39" s="92"/>
      <c r="V39" s="92"/>
      <c r="W39" s="92"/>
      <c r="X39" s="98"/>
      <c r="Y39" s="98"/>
      <c r="Z39" s="92"/>
    </row>
    <row r="40" spans="1:28" x14ac:dyDescent="0.15">
      <c r="A40" s="101"/>
      <c r="B40" s="101"/>
      <c r="C40" s="92"/>
      <c r="D40" s="92"/>
      <c r="E40" s="92"/>
      <c r="F40" s="92"/>
      <c r="G40" s="92"/>
      <c r="H40" s="92"/>
      <c r="I40" s="92"/>
      <c r="J40" s="92"/>
      <c r="K40" s="92"/>
      <c r="L40" s="92"/>
      <c r="M40" s="92"/>
      <c r="N40" s="92"/>
      <c r="O40" s="92"/>
      <c r="P40" s="92"/>
      <c r="Q40" s="92"/>
      <c r="R40" s="92"/>
      <c r="S40" s="92"/>
      <c r="T40" s="92"/>
      <c r="U40" s="92"/>
      <c r="V40" s="92"/>
      <c r="W40" s="92"/>
      <c r="X40" s="98"/>
      <c r="Y40" s="98"/>
      <c r="Z40" s="92"/>
    </row>
    <row r="41" spans="1:28" x14ac:dyDescent="0.15">
      <c r="A41" s="101"/>
      <c r="B41" s="101"/>
      <c r="C41" s="92"/>
      <c r="D41" s="92"/>
      <c r="E41" s="92"/>
      <c r="F41" s="92"/>
      <c r="G41" s="92"/>
      <c r="H41" s="92"/>
      <c r="I41" s="92"/>
      <c r="J41" s="92"/>
      <c r="K41" s="92"/>
      <c r="L41" s="92"/>
      <c r="M41" s="92"/>
      <c r="N41" s="92"/>
      <c r="O41" s="92"/>
      <c r="P41" s="92"/>
      <c r="Q41" s="92"/>
      <c r="R41" s="92"/>
      <c r="S41" s="92"/>
      <c r="T41" s="92"/>
      <c r="U41" s="92"/>
      <c r="V41" s="92"/>
      <c r="W41" s="92"/>
      <c r="X41" s="98"/>
      <c r="Y41" s="98"/>
      <c r="Z41" s="92"/>
    </row>
    <row r="42" spans="1:28" x14ac:dyDescent="0.15">
      <c r="A42" s="101"/>
      <c r="B42" s="102"/>
      <c r="C42" s="93"/>
      <c r="D42" s="93"/>
      <c r="E42" s="93"/>
      <c r="F42" s="93"/>
      <c r="G42" s="93"/>
      <c r="H42" s="93"/>
      <c r="I42" s="93"/>
      <c r="J42" s="93"/>
      <c r="K42" s="93"/>
      <c r="L42" s="93"/>
      <c r="M42" s="93"/>
      <c r="N42" s="93"/>
      <c r="O42" s="93"/>
      <c r="P42" s="93"/>
      <c r="Q42" s="93"/>
      <c r="R42" s="93"/>
      <c r="S42" s="93"/>
      <c r="T42" s="93"/>
      <c r="U42" s="93"/>
      <c r="V42" s="93"/>
      <c r="W42" s="93"/>
      <c r="X42" s="103"/>
      <c r="Y42" s="98"/>
      <c r="Z42" s="92"/>
    </row>
    <row r="43" spans="1:28" x14ac:dyDescent="0.15">
      <c r="A43" s="102"/>
      <c r="B43" s="93"/>
      <c r="C43" s="93"/>
      <c r="D43" s="93"/>
      <c r="E43" s="93"/>
      <c r="F43" s="93"/>
      <c r="G43" s="93"/>
      <c r="H43" s="93"/>
      <c r="I43" s="93"/>
      <c r="J43" s="93"/>
      <c r="K43" s="93"/>
      <c r="L43" s="93"/>
      <c r="M43" s="93"/>
      <c r="N43" s="93"/>
      <c r="O43" s="93"/>
      <c r="P43" s="93"/>
      <c r="Q43" s="93"/>
      <c r="R43" s="93"/>
      <c r="S43" s="93"/>
      <c r="T43" s="93"/>
      <c r="U43" s="93"/>
      <c r="V43" s="93"/>
      <c r="W43" s="93"/>
      <c r="X43" s="93"/>
      <c r="Y43" s="103"/>
      <c r="Z43" s="92"/>
    </row>
  </sheetData>
  <mergeCells count="138">
    <mergeCell ref="W2:Y3"/>
    <mergeCell ref="A3:B3"/>
    <mergeCell ref="G3:I3"/>
    <mergeCell ref="C7:F7"/>
    <mergeCell ref="G7:I7"/>
    <mergeCell ref="J7:K7"/>
    <mergeCell ref="U7:X7"/>
    <mergeCell ref="A1:F2"/>
    <mergeCell ref="G1:I1"/>
    <mergeCell ref="P1:Q1"/>
    <mergeCell ref="R1:T1"/>
    <mergeCell ref="U1:V1"/>
    <mergeCell ref="W1:Y1"/>
    <mergeCell ref="G2:I2"/>
    <mergeCell ref="P2:Q3"/>
    <mergeCell ref="R2:T3"/>
    <mergeCell ref="U2:V3"/>
    <mergeCell ref="C10:F10"/>
    <mergeCell ref="G10:I10"/>
    <mergeCell ref="J10:K10"/>
    <mergeCell ref="U10:X10"/>
    <mergeCell ref="C11:F11"/>
    <mergeCell ref="G11:I11"/>
    <mergeCell ref="J11:K11"/>
    <mergeCell ref="U11:X11"/>
    <mergeCell ref="C8:F8"/>
    <mergeCell ref="G8:I8"/>
    <mergeCell ref="J8:K8"/>
    <mergeCell ref="U8:X8"/>
    <mergeCell ref="C9:F9"/>
    <mergeCell ref="G9:I9"/>
    <mergeCell ref="J9:K9"/>
    <mergeCell ref="U9:X9"/>
    <mergeCell ref="C14:F14"/>
    <mergeCell ref="G14:I14"/>
    <mergeCell ref="J14:K14"/>
    <mergeCell ref="U14:X14"/>
    <mergeCell ref="C15:F15"/>
    <mergeCell ref="G15:I15"/>
    <mergeCell ref="J15:K15"/>
    <mergeCell ref="U15:X15"/>
    <mergeCell ref="C12:F12"/>
    <mergeCell ref="G12:I12"/>
    <mergeCell ref="J12:K12"/>
    <mergeCell ref="U12:X12"/>
    <mergeCell ref="C13:F13"/>
    <mergeCell ref="G13:I13"/>
    <mergeCell ref="J13:K13"/>
    <mergeCell ref="U13:X13"/>
    <mergeCell ref="C18:F18"/>
    <mergeCell ref="G18:I18"/>
    <mergeCell ref="J18:K18"/>
    <mergeCell ref="U18:X18"/>
    <mergeCell ref="C19:F19"/>
    <mergeCell ref="G19:I19"/>
    <mergeCell ref="J19:K19"/>
    <mergeCell ref="U19:X19"/>
    <mergeCell ref="C16:F16"/>
    <mergeCell ref="G16:I16"/>
    <mergeCell ref="J16:K16"/>
    <mergeCell ref="U16:X16"/>
    <mergeCell ref="C17:F17"/>
    <mergeCell ref="G17:I17"/>
    <mergeCell ref="J17:K17"/>
    <mergeCell ref="U17:X17"/>
    <mergeCell ref="C22:F22"/>
    <mergeCell ref="G22:I22"/>
    <mergeCell ref="J22:K22"/>
    <mergeCell ref="U22:X22"/>
    <mergeCell ref="C23:F23"/>
    <mergeCell ref="G23:I23"/>
    <mergeCell ref="J23:K23"/>
    <mergeCell ref="U23:X23"/>
    <mergeCell ref="C20:F20"/>
    <mergeCell ref="G20:I20"/>
    <mergeCell ref="J20:K20"/>
    <mergeCell ref="U20:X20"/>
    <mergeCell ref="C21:F21"/>
    <mergeCell ref="G21:I21"/>
    <mergeCell ref="J21:K21"/>
    <mergeCell ref="U21:X21"/>
    <mergeCell ref="C26:F26"/>
    <mergeCell ref="G26:I26"/>
    <mergeCell ref="J26:K26"/>
    <mergeCell ref="U26:X26"/>
    <mergeCell ref="C27:F27"/>
    <mergeCell ref="G27:I27"/>
    <mergeCell ref="J27:K27"/>
    <mergeCell ref="U27:X27"/>
    <mergeCell ref="C24:F24"/>
    <mergeCell ref="G24:I24"/>
    <mergeCell ref="J24:K24"/>
    <mergeCell ref="U24:X24"/>
    <mergeCell ref="C25:F25"/>
    <mergeCell ref="G25:I25"/>
    <mergeCell ref="J25:K25"/>
    <mergeCell ref="U25:X25"/>
    <mergeCell ref="C30:F30"/>
    <mergeCell ref="G30:I30"/>
    <mergeCell ref="J30:K30"/>
    <mergeCell ref="U30:X30"/>
    <mergeCell ref="C31:F31"/>
    <mergeCell ref="G31:I31"/>
    <mergeCell ref="J31:K31"/>
    <mergeCell ref="U31:X31"/>
    <mergeCell ref="C28:F28"/>
    <mergeCell ref="G28:I28"/>
    <mergeCell ref="J28:K28"/>
    <mergeCell ref="U28:X28"/>
    <mergeCell ref="C29:F29"/>
    <mergeCell ref="G29:I29"/>
    <mergeCell ref="J29:K29"/>
    <mergeCell ref="U29:X29"/>
    <mergeCell ref="C34:F34"/>
    <mergeCell ref="G34:I34"/>
    <mergeCell ref="J34:K34"/>
    <mergeCell ref="U34:X34"/>
    <mergeCell ref="C35:F35"/>
    <mergeCell ref="G35:I35"/>
    <mergeCell ref="J35:K35"/>
    <mergeCell ref="U35:X35"/>
    <mergeCell ref="C32:F32"/>
    <mergeCell ref="G32:I32"/>
    <mergeCell ref="J32:K32"/>
    <mergeCell ref="U32:X32"/>
    <mergeCell ref="C33:F33"/>
    <mergeCell ref="G33:I33"/>
    <mergeCell ref="J33:K33"/>
    <mergeCell ref="U33:X33"/>
    <mergeCell ref="B38:X38"/>
    <mergeCell ref="C36:F36"/>
    <mergeCell ref="G36:I36"/>
    <mergeCell ref="J36:K36"/>
    <mergeCell ref="U36:X36"/>
    <mergeCell ref="C37:F37"/>
    <mergeCell ref="G37:I37"/>
    <mergeCell ref="J37:K37"/>
    <mergeCell ref="U37:X37"/>
  </mergeCells>
  <phoneticPr fontId="1"/>
  <conditionalFormatting sqref="J8:K8">
    <cfRule type="expression" dxfId="443" priority="49">
      <formula>ISERROR(AB8)</formula>
    </cfRule>
    <cfRule type="expression" dxfId="442" priority="50">
      <formula>ISBLANK(AB8)</formula>
    </cfRule>
    <cfRule type="expression" dxfId="441" priority="51">
      <formula>AND(J8&lt;&gt;"",AB8&lt;=0)</formula>
    </cfRule>
  </conditionalFormatting>
  <conditionalFormatting sqref="J19:K21 J30:K37">
    <cfRule type="expression" dxfId="440" priority="52">
      <formula>ISERROR(AB19)</formula>
    </cfRule>
    <cfRule type="expression" dxfId="439" priority="53">
      <formula>ISBLANK(AB19)</formula>
    </cfRule>
    <cfRule type="expression" dxfId="438" priority="54">
      <formula>AND(J19&lt;&gt;"",AB19&lt;=0)</formula>
    </cfRule>
  </conditionalFormatting>
  <conditionalFormatting sqref="J25:K26">
    <cfRule type="expression" dxfId="437" priority="37">
      <formula>ISERROR(AB25)</formula>
    </cfRule>
    <cfRule type="expression" dxfId="436" priority="38">
      <formula>ISBLANK(AB25)</formula>
    </cfRule>
    <cfRule type="expression" dxfId="435" priority="39">
      <formula>AND(J25&lt;&gt;"",AB25&lt;=0)</formula>
    </cfRule>
  </conditionalFormatting>
  <conditionalFormatting sqref="J15:K15">
    <cfRule type="expression" dxfId="434" priority="13">
      <formula>ISERROR(AB15)</formula>
    </cfRule>
    <cfRule type="expression" dxfId="433" priority="14">
      <formula>ISBLANK(AB15)</formula>
    </cfRule>
    <cfRule type="expression" dxfId="432" priority="15">
      <formula>AND(J15&lt;&gt;"",AB15&lt;=0)</formula>
    </cfRule>
  </conditionalFormatting>
  <conditionalFormatting sqref="J29:K29">
    <cfRule type="expression" dxfId="431" priority="28">
      <formula>ISERROR(AB29)</formula>
    </cfRule>
    <cfRule type="expression" dxfId="430" priority="29">
      <formula>ISBLANK(AB29)</formula>
    </cfRule>
    <cfRule type="expression" dxfId="429" priority="30">
      <formula>AND(J29&lt;&gt;"",AB29&lt;=0)</formula>
    </cfRule>
  </conditionalFormatting>
  <conditionalFormatting sqref="J18:K18">
    <cfRule type="expression" dxfId="428" priority="46">
      <formula>ISERROR(AB18)</formula>
    </cfRule>
    <cfRule type="expression" dxfId="427" priority="47">
      <formula>ISBLANK(AB18)</formula>
    </cfRule>
    <cfRule type="expression" dxfId="426" priority="48">
      <formula>AND(J18&lt;&gt;"",AB18&lt;=0)</formula>
    </cfRule>
  </conditionalFormatting>
  <conditionalFormatting sqref="J23:K24">
    <cfRule type="expression" dxfId="425" priority="43">
      <formula>ISERROR(AB23)</formula>
    </cfRule>
    <cfRule type="expression" dxfId="424" priority="44">
      <formula>ISBLANK(AB23)</formula>
    </cfRule>
    <cfRule type="expression" dxfId="423" priority="45">
      <formula>AND(J23&lt;&gt;"",AB23&lt;=0)</formula>
    </cfRule>
  </conditionalFormatting>
  <conditionalFormatting sqref="J13:K14">
    <cfRule type="expression" dxfId="422" priority="16">
      <formula>ISERROR(AB13)</formula>
    </cfRule>
    <cfRule type="expression" dxfId="421" priority="17">
      <formula>ISBLANK(AB13)</formula>
    </cfRule>
    <cfRule type="expression" dxfId="420" priority="18">
      <formula>AND(J13&lt;&gt;"",AB13&lt;=0)</formula>
    </cfRule>
  </conditionalFormatting>
  <conditionalFormatting sqref="J17:K17">
    <cfRule type="expression" dxfId="419" priority="10">
      <formula>ISERROR(AB17)</formula>
    </cfRule>
    <cfRule type="expression" dxfId="418" priority="11">
      <formula>ISBLANK(AB17)</formula>
    </cfRule>
    <cfRule type="expression" dxfId="417" priority="12">
      <formula>AND(J17&lt;&gt;"",AB17&lt;=0)</formula>
    </cfRule>
  </conditionalFormatting>
  <conditionalFormatting sqref="J28:K28">
    <cfRule type="expression" dxfId="416" priority="31">
      <formula>ISERROR(AB28)</formula>
    </cfRule>
    <cfRule type="expression" dxfId="415" priority="32">
      <formula>ISBLANK(AB28)</formula>
    </cfRule>
    <cfRule type="expression" dxfId="414" priority="33">
      <formula>AND(J28&lt;&gt;"",AB28&lt;=0)</formula>
    </cfRule>
  </conditionalFormatting>
  <conditionalFormatting sqref="J22:K22">
    <cfRule type="expression" dxfId="413" priority="40">
      <formula>ISERROR(AB22)</formula>
    </cfRule>
    <cfRule type="expression" dxfId="412" priority="41">
      <formula>ISBLANK(AB22)</formula>
    </cfRule>
    <cfRule type="expression" dxfId="411" priority="42">
      <formula>AND(J22&lt;&gt;"",AB22&lt;=0)</formula>
    </cfRule>
  </conditionalFormatting>
  <conditionalFormatting sqref="J27:K27">
    <cfRule type="expression" dxfId="410" priority="34">
      <formula>ISERROR(AB27)</formula>
    </cfRule>
    <cfRule type="expression" dxfId="409" priority="35">
      <formula>ISBLANK(AB27)</formula>
    </cfRule>
    <cfRule type="expression" dxfId="408" priority="36">
      <formula>AND(J27&lt;&gt;"",AB27&lt;=0)</formula>
    </cfRule>
  </conditionalFormatting>
  <conditionalFormatting sqref="J11:K12">
    <cfRule type="expression" dxfId="407" priority="22">
      <formula>ISERROR(AB11)</formula>
    </cfRule>
    <cfRule type="expression" dxfId="406" priority="23">
      <formula>ISBLANK(AB11)</formula>
    </cfRule>
    <cfRule type="expression" dxfId="405" priority="24">
      <formula>AND(J11&lt;&gt;"",AB11&lt;=0)</formula>
    </cfRule>
  </conditionalFormatting>
  <conditionalFormatting sqref="J16:K16">
    <cfRule type="expression" dxfId="404" priority="7">
      <formula>ISERROR(AB16)</formula>
    </cfRule>
    <cfRule type="expression" dxfId="403" priority="8">
      <formula>ISBLANK(AB16)</formula>
    </cfRule>
    <cfRule type="expression" dxfId="402" priority="9">
      <formula>AND(J16&lt;&gt;"",AB16&lt;=0)</formula>
    </cfRule>
  </conditionalFormatting>
  <conditionalFormatting sqref="J10:K10">
    <cfRule type="expression" dxfId="401" priority="4">
      <formula>ISERROR(AB10)</formula>
    </cfRule>
    <cfRule type="expression" dxfId="400" priority="5">
      <formula>ISBLANK(AB10)</formula>
    </cfRule>
    <cfRule type="expression" dxfId="399" priority="6">
      <formula>AND(J10&lt;&gt;"",AB10&lt;=0)</formula>
    </cfRule>
  </conditionalFormatting>
  <conditionalFormatting sqref="J9:K9">
    <cfRule type="expression" dxfId="398" priority="1">
      <formula>ISERROR(AB9)</formula>
    </cfRule>
    <cfRule type="expression" dxfId="397" priority="2">
      <formula>ISBLANK(AB9)</formula>
    </cfRule>
    <cfRule type="expression" dxfId="396" priority="3">
      <formula>AND(J9&lt;&gt;"",AB9&lt;=0)</formula>
    </cfRule>
  </conditionalFormatting>
  <printOptions horizontalCentered="1"/>
  <pageMargins left="0.23622047244094491" right="0.23622047244094491" top="0.39370078740157483" bottom="0.39370078740157483" header="0" footer="0"/>
  <pageSetup paperSize="9" fitToHeight="0" orientation="landscape" r:id="rId1"/>
  <headerFooter alignWithMargins="0">
    <oddFooter>&amp;L&amp;F&amp;R&amp;P / &amp;N</oddFooter>
  </headerFooter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F649C7-4DAB-4909-9928-0733DF5E65E0}">
  <sheetPr codeName="Sheet17"/>
  <dimension ref="A1:AE43"/>
  <sheetViews>
    <sheetView showGridLines="0" view="pageBreakPreview" zoomScale="85" zoomScaleNormal="85" zoomScaleSheetLayoutView="85" workbookViewId="0">
      <selection activeCell="G18" sqref="G18:I18"/>
    </sheetView>
  </sheetViews>
  <sheetFormatPr defaultColWidth="5.625" defaultRowHeight="13.5" x14ac:dyDescent="0.15"/>
  <cols>
    <col min="1" max="16" width="5.625" style="12" customWidth="1"/>
    <col min="17" max="25" width="5.625" style="12"/>
    <col min="26" max="26" width="12.75" style="96" bestFit="1" customWidth="1"/>
    <col min="27" max="27" width="12.75" style="12" bestFit="1" customWidth="1"/>
    <col min="28" max="28" width="18.375" style="12" bestFit="1" customWidth="1"/>
    <col min="29" max="238" width="5.625" style="12"/>
    <col min="239" max="254" width="5.625" style="12" customWidth="1"/>
    <col min="255" max="494" width="5.625" style="12"/>
    <col min="495" max="510" width="5.625" style="12" customWidth="1"/>
    <col min="511" max="750" width="5.625" style="12"/>
    <col min="751" max="766" width="5.625" style="12" customWidth="1"/>
    <col min="767" max="1006" width="5.625" style="12"/>
    <col min="1007" max="1022" width="5.625" style="12" customWidth="1"/>
    <col min="1023" max="1262" width="5.625" style="12"/>
    <col min="1263" max="1278" width="5.625" style="12" customWidth="1"/>
    <col min="1279" max="1518" width="5.625" style="12"/>
    <col min="1519" max="1534" width="5.625" style="12" customWidth="1"/>
    <col min="1535" max="1774" width="5.625" style="12"/>
    <col min="1775" max="1790" width="5.625" style="12" customWidth="1"/>
    <col min="1791" max="2030" width="5.625" style="12"/>
    <col min="2031" max="2046" width="5.625" style="12" customWidth="1"/>
    <col min="2047" max="2286" width="5.625" style="12"/>
    <col min="2287" max="2302" width="5.625" style="12" customWidth="1"/>
    <col min="2303" max="2542" width="5.625" style="12"/>
    <col min="2543" max="2558" width="5.625" style="12" customWidth="1"/>
    <col min="2559" max="2798" width="5.625" style="12"/>
    <col min="2799" max="2814" width="5.625" style="12" customWidth="1"/>
    <col min="2815" max="3054" width="5.625" style="12"/>
    <col min="3055" max="3070" width="5.625" style="12" customWidth="1"/>
    <col min="3071" max="3310" width="5.625" style="12"/>
    <col min="3311" max="3326" width="5.625" style="12" customWidth="1"/>
    <col min="3327" max="3566" width="5.625" style="12"/>
    <col min="3567" max="3582" width="5.625" style="12" customWidth="1"/>
    <col min="3583" max="3822" width="5.625" style="12"/>
    <col min="3823" max="3838" width="5.625" style="12" customWidth="1"/>
    <col min="3839" max="4078" width="5.625" style="12"/>
    <col min="4079" max="4094" width="5.625" style="12" customWidth="1"/>
    <col min="4095" max="4334" width="5.625" style="12"/>
    <col min="4335" max="4350" width="5.625" style="12" customWidth="1"/>
    <col min="4351" max="4590" width="5.625" style="12"/>
    <col min="4591" max="4606" width="5.625" style="12" customWidth="1"/>
    <col min="4607" max="4846" width="5.625" style="12"/>
    <col min="4847" max="4862" width="5.625" style="12" customWidth="1"/>
    <col min="4863" max="5102" width="5.625" style="12"/>
    <col min="5103" max="5118" width="5.625" style="12" customWidth="1"/>
    <col min="5119" max="5358" width="5.625" style="12"/>
    <col min="5359" max="5374" width="5.625" style="12" customWidth="1"/>
    <col min="5375" max="5614" width="5.625" style="12"/>
    <col min="5615" max="5630" width="5.625" style="12" customWidth="1"/>
    <col min="5631" max="5870" width="5.625" style="12"/>
    <col min="5871" max="5886" width="5.625" style="12" customWidth="1"/>
    <col min="5887" max="6126" width="5.625" style="12"/>
    <col min="6127" max="6142" width="5.625" style="12" customWidth="1"/>
    <col min="6143" max="6382" width="5.625" style="12"/>
    <col min="6383" max="6398" width="5.625" style="12" customWidth="1"/>
    <col min="6399" max="6638" width="5.625" style="12"/>
    <col min="6639" max="6654" width="5.625" style="12" customWidth="1"/>
    <col min="6655" max="6894" width="5.625" style="12"/>
    <col min="6895" max="6910" width="5.625" style="12" customWidth="1"/>
    <col min="6911" max="7150" width="5.625" style="12"/>
    <col min="7151" max="7166" width="5.625" style="12" customWidth="1"/>
    <col min="7167" max="7406" width="5.625" style="12"/>
    <col min="7407" max="7422" width="5.625" style="12" customWidth="1"/>
    <col min="7423" max="7662" width="5.625" style="12"/>
    <col min="7663" max="7678" width="5.625" style="12" customWidth="1"/>
    <col min="7679" max="7918" width="5.625" style="12"/>
    <col min="7919" max="7934" width="5.625" style="12" customWidth="1"/>
    <col min="7935" max="8174" width="5.625" style="12"/>
    <col min="8175" max="8190" width="5.625" style="12" customWidth="1"/>
    <col min="8191" max="8430" width="5.625" style="12"/>
    <col min="8431" max="8446" width="5.625" style="12" customWidth="1"/>
    <col min="8447" max="8686" width="5.625" style="12"/>
    <col min="8687" max="8702" width="5.625" style="12" customWidth="1"/>
    <col min="8703" max="8942" width="5.625" style="12"/>
    <col min="8943" max="8958" width="5.625" style="12" customWidth="1"/>
    <col min="8959" max="9198" width="5.625" style="12"/>
    <col min="9199" max="9214" width="5.625" style="12" customWidth="1"/>
    <col min="9215" max="9454" width="5.625" style="12"/>
    <col min="9455" max="9470" width="5.625" style="12" customWidth="1"/>
    <col min="9471" max="9710" width="5.625" style="12"/>
    <col min="9711" max="9726" width="5.625" style="12" customWidth="1"/>
    <col min="9727" max="9966" width="5.625" style="12"/>
    <col min="9967" max="9982" width="5.625" style="12" customWidth="1"/>
    <col min="9983" max="10222" width="5.625" style="12"/>
    <col min="10223" max="10238" width="5.625" style="12" customWidth="1"/>
    <col min="10239" max="10478" width="5.625" style="12"/>
    <col min="10479" max="10494" width="5.625" style="12" customWidth="1"/>
    <col min="10495" max="10734" width="5.625" style="12"/>
    <col min="10735" max="10750" width="5.625" style="12" customWidth="1"/>
    <col min="10751" max="10990" width="5.625" style="12"/>
    <col min="10991" max="11006" width="5.625" style="12" customWidth="1"/>
    <col min="11007" max="11246" width="5.625" style="12"/>
    <col min="11247" max="11262" width="5.625" style="12" customWidth="1"/>
    <col min="11263" max="11502" width="5.625" style="12"/>
    <col min="11503" max="11518" width="5.625" style="12" customWidth="1"/>
    <col min="11519" max="11758" width="5.625" style="12"/>
    <col min="11759" max="11774" width="5.625" style="12" customWidth="1"/>
    <col min="11775" max="12014" width="5.625" style="12"/>
    <col min="12015" max="12030" width="5.625" style="12" customWidth="1"/>
    <col min="12031" max="12270" width="5.625" style="12"/>
    <col min="12271" max="12286" width="5.625" style="12" customWidth="1"/>
    <col min="12287" max="12526" width="5.625" style="12"/>
    <col min="12527" max="12542" width="5.625" style="12" customWidth="1"/>
    <col min="12543" max="12782" width="5.625" style="12"/>
    <col min="12783" max="12798" width="5.625" style="12" customWidth="1"/>
    <col min="12799" max="13038" width="5.625" style="12"/>
    <col min="13039" max="13054" width="5.625" style="12" customWidth="1"/>
    <col min="13055" max="13294" width="5.625" style="12"/>
    <col min="13295" max="13310" width="5.625" style="12" customWidth="1"/>
    <col min="13311" max="13550" width="5.625" style="12"/>
    <col min="13551" max="13566" width="5.625" style="12" customWidth="1"/>
    <col min="13567" max="13806" width="5.625" style="12"/>
    <col min="13807" max="13822" width="5.625" style="12" customWidth="1"/>
    <col min="13823" max="14062" width="5.625" style="12"/>
    <col min="14063" max="14078" width="5.625" style="12" customWidth="1"/>
    <col min="14079" max="14318" width="5.625" style="12"/>
    <col min="14319" max="14334" width="5.625" style="12" customWidth="1"/>
    <col min="14335" max="14574" width="5.625" style="12"/>
    <col min="14575" max="14590" width="5.625" style="12" customWidth="1"/>
    <col min="14591" max="14830" width="5.625" style="12"/>
    <col min="14831" max="14846" width="5.625" style="12" customWidth="1"/>
    <col min="14847" max="15086" width="5.625" style="12"/>
    <col min="15087" max="15102" width="5.625" style="12" customWidth="1"/>
    <col min="15103" max="15342" width="5.625" style="12"/>
    <col min="15343" max="15358" width="5.625" style="12" customWidth="1"/>
    <col min="15359" max="15598" width="5.625" style="12"/>
    <col min="15599" max="15614" width="5.625" style="12" customWidth="1"/>
    <col min="15615" max="15854" width="5.625" style="12"/>
    <col min="15855" max="15870" width="5.625" style="12" customWidth="1"/>
    <col min="15871" max="16110" width="5.625" style="12"/>
    <col min="16111" max="16126" width="5.625" style="12" customWidth="1"/>
    <col min="16127" max="16384" width="5.625" style="12"/>
  </cols>
  <sheetData>
    <row r="1" spans="1:31" ht="13.5" customHeight="1" x14ac:dyDescent="0.15">
      <c r="A1" s="260" t="s">
        <v>81</v>
      </c>
      <c r="B1" s="261"/>
      <c r="C1" s="261"/>
      <c r="D1" s="261"/>
      <c r="E1" s="261"/>
      <c r="F1" s="262"/>
      <c r="G1" s="311" t="s">
        <v>5</v>
      </c>
      <c r="H1" s="312"/>
      <c r="I1" s="313"/>
      <c r="J1" s="21"/>
      <c r="K1" s="94"/>
      <c r="L1" s="94"/>
      <c r="M1" s="94"/>
      <c r="N1" s="94"/>
      <c r="O1" s="94"/>
      <c r="P1" s="311" t="s">
        <v>8</v>
      </c>
      <c r="Q1" s="313"/>
      <c r="R1" s="311" t="s">
        <v>7</v>
      </c>
      <c r="S1" s="312"/>
      <c r="T1" s="313"/>
      <c r="U1" s="311" t="s">
        <v>9</v>
      </c>
      <c r="V1" s="313"/>
      <c r="W1" s="311" t="s">
        <v>10</v>
      </c>
      <c r="X1" s="312"/>
      <c r="Y1" s="313"/>
      <c r="Z1" s="107"/>
      <c r="AA1" s="12" t="s">
        <v>128</v>
      </c>
      <c r="AE1" s="12" t="s">
        <v>124</v>
      </c>
    </row>
    <row r="2" spans="1:31" ht="13.5" customHeight="1" x14ac:dyDescent="0.15">
      <c r="A2" s="266"/>
      <c r="B2" s="267"/>
      <c r="C2" s="267"/>
      <c r="D2" s="267"/>
      <c r="E2" s="267"/>
      <c r="F2" s="268"/>
      <c r="G2" s="311" t="s">
        <v>6</v>
      </c>
      <c r="H2" s="312"/>
      <c r="I2" s="313"/>
      <c r="J2" s="21"/>
      <c r="K2" s="95"/>
      <c r="L2" s="95"/>
      <c r="M2" s="95"/>
      <c r="N2" s="95"/>
      <c r="O2" s="95"/>
      <c r="P2" s="246"/>
      <c r="Q2" s="247"/>
      <c r="R2" s="273"/>
      <c r="S2" s="274"/>
      <c r="T2" s="275"/>
      <c r="U2" s="246"/>
      <c r="V2" s="247"/>
      <c r="W2" s="273"/>
      <c r="X2" s="274"/>
      <c r="Y2" s="275"/>
      <c r="Z2" s="107"/>
      <c r="AA2" s="12">
        <f>SUM(AB:AB)</f>
        <v>24</v>
      </c>
    </row>
    <row r="3" spans="1:31" ht="13.5" customHeight="1" x14ac:dyDescent="0.15">
      <c r="A3" s="311" t="s">
        <v>82</v>
      </c>
      <c r="B3" s="312"/>
      <c r="C3" s="21" t="str">
        <f ca="1">RIGHT(CELL("filename",A2),LEN(CELL("filename",A2))-FIND("]",CELL("filename",A2)))</f>
        <v>経営ﾘｽｸ</v>
      </c>
      <c r="D3" s="95"/>
      <c r="E3" s="95"/>
      <c r="F3" s="95"/>
      <c r="G3" s="311" t="s">
        <v>83</v>
      </c>
      <c r="H3" s="312"/>
      <c r="I3" s="313"/>
      <c r="J3" s="21" t="s">
        <v>239</v>
      </c>
      <c r="K3" s="95"/>
      <c r="L3" s="95"/>
      <c r="M3" s="95"/>
      <c r="N3" s="95"/>
      <c r="O3" s="95"/>
      <c r="P3" s="248"/>
      <c r="Q3" s="249"/>
      <c r="R3" s="276"/>
      <c r="S3" s="277"/>
      <c r="T3" s="278"/>
      <c r="U3" s="248"/>
      <c r="V3" s="249"/>
      <c r="W3" s="276"/>
      <c r="X3" s="277"/>
      <c r="Y3" s="278"/>
      <c r="Z3" s="107"/>
    </row>
    <row r="4" spans="1:31" x14ac:dyDescent="0.15">
      <c r="A4" s="86"/>
      <c r="B4" s="18"/>
      <c r="C4" s="18"/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  <c r="O4" s="18"/>
      <c r="P4" s="18"/>
      <c r="Q4" s="18"/>
      <c r="R4" s="18"/>
      <c r="S4" s="18"/>
      <c r="T4" s="18"/>
      <c r="U4" s="18"/>
      <c r="V4" s="18"/>
      <c r="W4" s="18"/>
      <c r="X4" s="18"/>
      <c r="Y4" s="18"/>
      <c r="Z4" s="92"/>
    </row>
    <row r="5" spans="1:31" ht="13.5" customHeight="1" x14ac:dyDescent="0.15">
      <c r="A5" s="83" t="s">
        <v>93</v>
      </c>
      <c r="B5" s="84"/>
      <c r="C5" s="84"/>
      <c r="D5" s="84"/>
      <c r="E5" s="84"/>
      <c r="F5" s="84"/>
      <c r="G5" s="84"/>
      <c r="H5" s="84"/>
      <c r="I5" s="84"/>
      <c r="J5" s="84"/>
      <c r="K5" s="84"/>
      <c r="L5" s="84"/>
      <c r="M5" s="84"/>
      <c r="N5" s="84"/>
      <c r="O5" s="84"/>
      <c r="P5" s="84"/>
      <c r="Q5" s="84"/>
      <c r="R5" s="84"/>
      <c r="S5" s="84"/>
      <c r="T5" s="84"/>
      <c r="U5" s="84"/>
      <c r="V5" s="84"/>
      <c r="W5" s="84"/>
      <c r="X5" s="84"/>
      <c r="Y5" s="85"/>
      <c r="Z5" s="92"/>
    </row>
    <row r="6" spans="1:31" x14ac:dyDescent="0.15">
      <c r="A6" s="164"/>
      <c r="B6" s="165"/>
      <c r="C6" s="165"/>
      <c r="D6" s="165"/>
      <c r="E6" s="165"/>
      <c r="F6" s="165"/>
      <c r="G6" s="165"/>
      <c r="H6" s="165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165"/>
      <c r="U6" s="165"/>
      <c r="V6" s="165"/>
      <c r="W6" s="165"/>
      <c r="X6" s="165"/>
      <c r="Y6" s="166"/>
      <c r="Z6" s="92"/>
    </row>
    <row r="7" spans="1:31" x14ac:dyDescent="0.15">
      <c r="A7" s="17"/>
      <c r="B7" s="163" t="s">
        <v>84</v>
      </c>
      <c r="C7" s="311" t="s">
        <v>205</v>
      </c>
      <c r="D7" s="312"/>
      <c r="E7" s="312"/>
      <c r="F7" s="313"/>
      <c r="G7" s="311" t="s">
        <v>83</v>
      </c>
      <c r="H7" s="312"/>
      <c r="I7" s="313"/>
      <c r="J7" s="311" t="s">
        <v>85</v>
      </c>
      <c r="K7" s="313"/>
      <c r="L7" s="97" t="s">
        <v>86</v>
      </c>
      <c r="M7" s="97" t="s">
        <v>87</v>
      </c>
      <c r="N7" s="97" t="s">
        <v>121</v>
      </c>
      <c r="O7" s="97" t="s">
        <v>88</v>
      </c>
      <c r="P7" s="97" t="s">
        <v>89</v>
      </c>
      <c r="Q7" s="97" t="s">
        <v>89</v>
      </c>
      <c r="R7" s="97" t="s">
        <v>89</v>
      </c>
      <c r="S7" s="97" t="s">
        <v>89</v>
      </c>
      <c r="T7" s="97" t="s">
        <v>89</v>
      </c>
      <c r="U7" s="311" t="s">
        <v>90</v>
      </c>
      <c r="V7" s="312"/>
      <c r="W7" s="312"/>
      <c r="X7" s="313"/>
      <c r="Y7" s="98"/>
      <c r="Z7" s="96" t="s">
        <v>126</v>
      </c>
      <c r="AA7" s="12" t="s">
        <v>127</v>
      </c>
      <c r="AB7" s="12" t="s">
        <v>125</v>
      </c>
    </row>
    <row r="8" spans="1:31" x14ac:dyDescent="0.15">
      <c r="A8" s="17"/>
      <c r="B8" s="99" t="s">
        <v>94</v>
      </c>
      <c r="C8" s="301" t="s">
        <v>216</v>
      </c>
      <c r="D8" s="302"/>
      <c r="E8" s="302"/>
      <c r="F8" s="303"/>
      <c r="G8" s="304">
        <v>1</v>
      </c>
      <c r="H8" s="305"/>
      <c r="I8" s="306"/>
      <c r="J8" s="304" t="s">
        <v>91</v>
      </c>
      <c r="K8" s="306"/>
      <c r="L8" s="100">
        <v>1</v>
      </c>
      <c r="M8" s="100"/>
      <c r="N8" s="100"/>
      <c r="O8" s="100"/>
      <c r="P8" s="100"/>
      <c r="Q8" s="100"/>
      <c r="R8" s="100"/>
      <c r="S8" s="100"/>
      <c r="T8" s="100"/>
      <c r="U8" s="307" t="s">
        <v>210</v>
      </c>
      <c r="V8" s="308"/>
      <c r="W8" s="308"/>
      <c r="X8" s="309"/>
      <c r="Y8" s="98"/>
      <c r="Z8" s="106">
        <f t="shared" ref="Z8:Z37" si="0">IF(LEFT(J8,7)="decimal",INT(MID(J8,9,FIND(",",J8,9)-9)),0)</f>
        <v>0</v>
      </c>
      <c r="AA8" s="105">
        <f t="shared" ref="AA8:AA37" si="1">IF(J8="varbinary(max)",2147483647,IF(J8="bit",1,IF(LEFT(J8,4)="char",INT(MID(J8,6,LEN(J8)-6)),IF(LEFT(J8,7)="varchar",INT(MID(J8,9,LEN(J8)-9)+2),IF(LEFT(J8,8)="nvarchar",INT(MID(J8,10,LEN(J8)-10)*2+2),IF(LEFT(J8,7)="decimal",IF(Z8&lt;10,5,IF(Z8&lt;20,9,IF(Z8&lt;29,13,17))),0))))))</f>
        <v>0</v>
      </c>
      <c r="AB8" s="105">
        <f t="shared" ref="AB8:AB37" si="2">IF(AA8&gt;0,AA8,IF(J8="date",3,IF(OR(J8="int",J8="real"),4,IF(J8="time",5,IF(OR(J8="datetime",J8="float",J8="datetime2"),8,IF(J8="uniqueidentifier",16,0))))))</f>
        <v>4</v>
      </c>
    </row>
    <row r="9" spans="1:31" x14ac:dyDescent="0.15">
      <c r="A9" s="101"/>
      <c r="B9" s="99">
        <f>B8+1</f>
        <v>2</v>
      </c>
      <c r="C9" s="301" t="s">
        <v>249</v>
      </c>
      <c r="D9" s="302"/>
      <c r="E9" s="302"/>
      <c r="F9" s="303"/>
      <c r="G9" s="304">
        <v>1</v>
      </c>
      <c r="H9" s="305"/>
      <c r="I9" s="306"/>
      <c r="J9" s="304" t="s">
        <v>214</v>
      </c>
      <c r="K9" s="306"/>
      <c r="L9" s="100"/>
      <c r="M9" s="162" t="s">
        <v>92</v>
      </c>
      <c r="N9" s="100">
        <v>0</v>
      </c>
      <c r="O9" s="100"/>
      <c r="P9" s="100"/>
      <c r="Q9" s="100"/>
      <c r="R9" s="100"/>
      <c r="S9" s="100"/>
      <c r="T9" s="100"/>
      <c r="U9" s="301"/>
      <c r="V9" s="302"/>
      <c r="W9" s="302"/>
      <c r="X9" s="303"/>
      <c r="Y9" s="98"/>
      <c r="Z9" s="106">
        <f>IF(LEFT(J9,7)="decimal",INT(MID(J9,9,FIND(",",J9,9)-9)),0)</f>
        <v>0</v>
      </c>
      <c r="AA9" s="105">
        <f>IF(J9="varbinary(max)",2147483647,IF(J9="bit",1,IF(LEFT(J9,4)="char",INT(MID(J9,6,LEN(J9)-6)),IF(LEFT(J9,7)="varchar",INT(MID(J9,9,LEN(J9)-9)+2),IF(LEFT(J9,8)="nvarchar",INT(MID(J9,10,LEN(J9)-10)*2+2),IF(LEFT(J9,7)="decimal",IF(Z9&lt;10,5,IF(Z9&lt;20,9,IF(Z9&lt;29,13,17))),0))))))</f>
        <v>0</v>
      </c>
      <c r="AB9" s="105">
        <f>IF(AA9&gt;0,AA9,IF(J9="date",3,IF(OR(J9="int",J9="real"),4,IF(J9="time",5,IF(OR(J9="datetime",J9="float",J9="datetime2"),8,IF(J9="uniqueidentifier",16,0))))))</f>
        <v>4</v>
      </c>
    </row>
    <row r="10" spans="1:31" x14ac:dyDescent="0.15">
      <c r="A10" s="17"/>
      <c r="B10" s="99">
        <f t="shared" ref="B10:B37" si="3">B9+1</f>
        <v>3</v>
      </c>
      <c r="C10" s="301" t="s">
        <v>217</v>
      </c>
      <c r="D10" s="302"/>
      <c r="E10" s="302"/>
      <c r="F10" s="303"/>
      <c r="G10" s="304">
        <v>1</v>
      </c>
      <c r="H10" s="305"/>
      <c r="I10" s="306"/>
      <c r="J10" s="304" t="s">
        <v>214</v>
      </c>
      <c r="K10" s="306"/>
      <c r="L10" s="100"/>
      <c r="M10" s="162" t="s">
        <v>92</v>
      </c>
      <c r="N10" s="100">
        <v>0</v>
      </c>
      <c r="O10" s="100"/>
      <c r="P10" s="100"/>
      <c r="Q10" s="100"/>
      <c r="R10" s="100"/>
      <c r="S10" s="100"/>
      <c r="T10" s="100"/>
      <c r="U10" s="301"/>
      <c r="V10" s="302"/>
      <c r="W10" s="302"/>
      <c r="X10" s="303"/>
      <c r="Y10" s="98"/>
      <c r="Z10" s="106">
        <f t="shared" si="0"/>
        <v>0</v>
      </c>
      <c r="AA10" s="105">
        <f t="shared" si="1"/>
        <v>0</v>
      </c>
      <c r="AB10" s="105">
        <f t="shared" si="2"/>
        <v>4</v>
      </c>
    </row>
    <row r="11" spans="1:31" x14ac:dyDescent="0.15">
      <c r="A11" s="17"/>
      <c r="B11" s="99">
        <f t="shared" si="3"/>
        <v>4</v>
      </c>
      <c r="C11" s="301" t="s">
        <v>218</v>
      </c>
      <c r="D11" s="302"/>
      <c r="E11" s="302"/>
      <c r="F11" s="303"/>
      <c r="G11" s="304">
        <v>1</v>
      </c>
      <c r="H11" s="305"/>
      <c r="I11" s="306"/>
      <c r="J11" s="304" t="s">
        <v>214</v>
      </c>
      <c r="K11" s="306"/>
      <c r="L11" s="100"/>
      <c r="M11" s="162" t="s">
        <v>92</v>
      </c>
      <c r="N11" s="100">
        <v>0</v>
      </c>
      <c r="O11" s="100"/>
      <c r="P11" s="100"/>
      <c r="Q11" s="100"/>
      <c r="R11" s="100"/>
      <c r="S11" s="100"/>
      <c r="T11" s="100"/>
      <c r="U11" s="301"/>
      <c r="V11" s="302"/>
      <c r="W11" s="302"/>
      <c r="X11" s="303"/>
      <c r="Y11" s="98"/>
      <c r="Z11" s="106">
        <f t="shared" si="0"/>
        <v>0</v>
      </c>
      <c r="AA11" s="105">
        <f t="shared" si="1"/>
        <v>0</v>
      </c>
      <c r="AB11" s="105">
        <f t="shared" si="2"/>
        <v>4</v>
      </c>
    </row>
    <row r="12" spans="1:31" x14ac:dyDescent="0.15">
      <c r="A12" s="17"/>
      <c r="B12" s="99">
        <f t="shared" si="3"/>
        <v>5</v>
      </c>
      <c r="C12" s="301" t="s">
        <v>250</v>
      </c>
      <c r="D12" s="302"/>
      <c r="E12" s="302"/>
      <c r="F12" s="303"/>
      <c r="G12" s="304">
        <v>1</v>
      </c>
      <c r="H12" s="305"/>
      <c r="I12" s="306"/>
      <c r="J12" s="304" t="s">
        <v>214</v>
      </c>
      <c r="K12" s="306"/>
      <c r="L12" s="100"/>
      <c r="M12" s="162" t="s">
        <v>92</v>
      </c>
      <c r="N12" s="100">
        <v>0</v>
      </c>
      <c r="O12" s="100"/>
      <c r="P12" s="100"/>
      <c r="Q12" s="100"/>
      <c r="R12" s="100"/>
      <c r="S12" s="100"/>
      <c r="T12" s="100"/>
      <c r="U12" s="301" t="s">
        <v>343</v>
      </c>
      <c r="V12" s="302"/>
      <c r="W12" s="302"/>
      <c r="X12" s="303"/>
      <c r="Y12" s="98"/>
      <c r="Z12" s="106">
        <f t="shared" si="0"/>
        <v>0</v>
      </c>
      <c r="AA12" s="105">
        <f t="shared" si="1"/>
        <v>0</v>
      </c>
      <c r="AB12" s="105">
        <f t="shared" si="2"/>
        <v>4</v>
      </c>
    </row>
    <row r="13" spans="1:31" x14ac:dyDescent="0.15">
      <c r="A13" s="17"/>
      <c r="B13" s="99">
        <f t="shared" si="3"/>
        <v>6</v>
      </c>
      <c r="C13" s="301" t="s">
        <v>251</v>
      </c>
      <c r="D13" s="302"/>
      <c r="E13" s="302"/>
      <c r="F13" s="303"/>
      <c r="G13" s="304">
        <v>1</v>
      </c>
      <c r="H13" s="305"/>
      <c r="I13" s="306"/>
      <c r="J13" s="304" t="s">
        <v>214</v>
      </c>
      <c r="K13" s="306"/>
      <c r="L13" s="100"/>
      <c r="M13" s="162" t="s">
        <v>92</v>
      </c>
      <c r="N13" s="100">
        <v>0</v>
      </c>
      <c r="O13" s="100"/>
      <c r="P13" s="100"/>
      <c r="Q13" s="100"/>
      <c r="R13" s="100"/>
      <c r="S13" s="100"/>
      <c r="T13" s="100"/>
      <c r="U13" s="301"/>
      <c r="V13" s="302"/>
      <c r="W13" s="302"/>
      <c r="X13" s="303"/>
      <c r="Y13" s="98"/>
      <c r="Z13" s="106">
        <f t="shared" si="0"/>
        <v>0</v>
      </c>
      <c r="AA13" s="105">
        <f t="shared" si="1"/>
        <v>0</v>
      </c>
      <c r="AB13" s="105">
        <f t="shared" si="2"/>
        <v>4</v>
      </c>
    </row>
    <row r="14" spans="1:31" x14ac:dyDescent="0.15">
      <c r="A14" s="17"/>
      <c r="B14" s="99">
        <f t="shared" si="3"/>
        <v>7</v>
      </c>
      <c r="C14" s="167"/>
      <c r="D14" s="168"/>
      <c r="E14" s="168"/>
      <c r="F14" s="169"/>
      <c r="G14" s="304"/>
      <c r="H14" s="305"/>
      <c r="I14" s="306"/>
      <c r="J14" s="304"/>
      <c r="K14" s="306"/>
      <c r="L14" s="100"/>
      <c r="M14" s="162"/>
      <c r="N14" s="104"/>
      <c r="O14" s="100"/>
      <c r="P14" s="100"/>
      <c r="Q14" s="100"/>
      <c r="R14" s="100"/>
      <c r="S14" s="100"/>
      <c r="T14" s="100"/>
      <c r="U14" s="301"/>
      <c r="V14" s="302"/>
      <c r="W14" s="302"/>
      <c r="X14" s="303"/>
      <c r="Y14" s="98"/>
      <c r="Z14" s="106">
        <f t="shared" si="0"/>
        <v>0</v>
      </c>
      <c r="AA14" s="105">
        <f t="shared" si="1"/>
        <v>0</v>
      </c>
      <c r="AB14" s="105">
        <f>IF(AA14&gt;0,AA14,IF(J14="date",3,IF(OR(J14="int",J14="real"),4,IF(J14="time",5,IF(OR(J14="datetime",J14="float",J14="datetime2"),8,IF(J14="uniqueidentifier",16,0))))))</f>
        <v>0</v>
      </c>
    </row>
    <row r="15" spans="1:31" x14ac:dyDescent="0.15">
      <c r="A15" s="17"/>
      <c r="B15" s="99">
        <f t="shared" si="3"/>
        <v>8</v>
      </c>
      <c r="C15" s="301"/>
      <c r="D15" s="302"/>
      <c r="E15" s="302"/>
      <c r="F15" s="303"/>
      <c r="G15" s="304"/>
      <c r="H15" s="305"/>
      <c r="I15" s="306"/>
      <c r="J15" s="304"/>
      <c r="K15" s="306"/>
      <c r="L15" s="100"/>
      <c r="M15" s="162"/>
      <c r="N15" s="104"/>
      <c r="O15" s="100"/>
      <c r="P15" s="100"/>
      <c r="Q15" s="100"/>
      <c r="R15" s="100"/>
      <c r="S15" s="100"/>
      <c r="T15" s="100"/>
      <c r="U15" s="301"/>
      <c r="V15" s="302"/>
      <c r="W15" s="302"/>
      <c r="X15" s="303"/>
      <c r="Y15" s="98"/>
      <c r="Z15" s="106">
        <f t="shared" si="0"/>
        <v>0</v>
      </c>
      <c r="AA15" s="105">
        <f t="shared" si="1"/>
        <v>0</v>
      </c>
      <c r="AB15" s="105">
        <f t="shared" si="2"/>
        <v>0</v>
      </c>
    </row>
    <row r="16" spans="1:31" x14ac:dyDescent="0.15">
      <c r="A16" s="101"/>
      <c r="B16" s="99">
        <f t="shared" si="3"/>
        <v>9</v>
      </c>
      <c r="C16" s="301"/>
      <c r="D16" s="302"/>
      <c r="E16" s="302"/>
      <c r="F16" s="303"/>
      <c r="G16" s="304"/>
      <c r="H16" s="305"/>
      <c r="I16" s="306"/>
      <c r="J16" s="304"/>
      <c r="K16" s="306"/>
      <c r="L16" s="100"/>
      <c r="M16" s="162"/>
      <c r="N16" s="104"/>
      <c r="O16" s="100"/>
      <c r="P16" s="100"/>
      <c r="Q16" s="100"/>
      <c r="R16" s="100"/>
      <c r="S16" s="100"/>
      <c r="T16" s="100"/>
      <c r="U16" s="301"/>
      <c r="V16" s="302"/>
      <c r="W16" s="302"/>
      <c r="X16" s="303"/>
      <c r="Y16" s="98"/>
      <c r="Z16" s="106">
        <f t="shared" si="0"/>
        <v>0</v>
      </c>
      <c r="AA16" s="105">
        <f t="shared" si="1"/>
        <v>0</v>
      </c>
      <c r="AB16" s="105">
        <f t="shared" si="2"/>
        <v>0</v>
      </c>
    </row>
    <row r="17" spans="1:28" x14ac:dyDescent="0.15">
      <c r="A17" s="101"/>
      <c r="B17" s="99">
        <f t="shared" si="3"/>
        <v>10</v>
      </c>
      <c r="C17" s="301"/>
      <c r="D17" s="302"/>
      <c r="E17" s="302"/>
      <c r="F17" s="303"/>
      <c r="G17" s="304"/>
      <c r="H17" s="305"/>
      <c r="I17" s="306"/>
      <c r="J17" s="304"/>
      <c r="K17" s="306"/>
      <c r="L17" s="100"/>
      <c r="M17" s="162"/>
      <c r="N17" s="100"/>
      <c r="O17" s="100"/>
      <c r="P17" s="100"/>
      <c r="Q17" s="100"/>
      <c r="R17" s="100"/>
      <c r="S17" s="100"/>
      <c r="T17" s="100"/>
      <c r="U17" s="301"/>
      <c r="V17" s="302"/>
      <c r="W17" s="302"/>
      <c r="X17" s="303"/>
      <c r="Y17" s="98"/>
      <c r="Z17" s="106">
        <f t="shared" si="0"/>
        <v>0</v>
      </c>
      <c r="AA17" s="105">
        <f t="shared" si="1"/>
        <v>0</v>
      </c>
      <c r="AB17" s="105">
        <f t="shared" si="2"/>
        <v>0</v>
      </c>
    </row>
    <row r="18" spans="1:28" x14ac:dyDescent="0.15">
      <c r="A18" s="101"/>
      <c r="B18" s="99">
        <f t="shared" si="3"/>
        <v>11</v>
      </c>
      <c r="C18" s="301"/>
      <c r="D18" s="302"/>
      <c r="E18" s="302"/>
      <c r="F18" s="303"/>
      <c r="G18" s="304"/>
      <c r="H18" s="305"/>
      <c r="I18" s="306"/>
      <c r="J18" s="304"/>
      <c r="K18" s="306"/>
      <c r="L18" s="100"/>
      <c r="M18" s="162"/>
      <c r="N18" s="100"/>
      <c r="O18" s="100"/>
      <c r="P18" s="100"/>
      <c r="Q18" s="100"/>
      <c r="R18" s="100"/>
      <c r="S18" s="100"/>
      <c r="T18" s="100"/>
      <c r="U18" s="301"/>
      <c r="V18" s="302"/>
      <c r="W18" s="302"/>
      <c r="X18" s="303"/>
      <c r="Y18" s="98"/>
      <c r="Z18" s="106">
        <f t="shared" si="0"/>
        <v>0</v>
      </c>
      <c r="AA18" s="105">
        <f t="shared" si="1"/>
        <v>0</v>
      </c>
      <c r="AB18" s="105">
        <f t="shared" si="2"/>
        <v>0</v>
      </c>
    </row>
    <row r="19" spans="1:28" x14ac:dyDescent="0.15">
      <c r="A19" s="101"/>
      <c r="B19" s="99">
        <f t="shared" si="3"/>
        <v>12</v>
      </c>
      <c r="C19" s="301"/>
      <c r="D19" s="302"/>
      <c r="E19" s="302"/>
      <c r="F19" s="303"/>
      <c r="G19" s="304"/>
      <c r="H19" s="305"/>
      <c r="I19" s="306"/>
      <c r="J19" s="304"/>
      <c r="K19" s="306"/>
      <c r="L19" s="100"/>
      <c r="M19" s="162"/>
      <c r="N19" s="100"/>
      <c r="O19" s="100"/>
      <c r="P19" s="100"/>
      <c r="Q19" s="100"/>
      <c r="R19" s="100"/>
      <c r="S19" s="100"/>
      <c r="T19" s="100"/>
      <c r="U19" s="301"/>
      <c r="V19" s="302"/>
      <c r="W19" s="302"/>
      <c r="X19" s="303"/>
      <c r="Y19" s="98"/>
      <c r="Z19" s="106">
        <f t="shared" si="0"/>
        <v>0</v>
      </c>
      <c r="AA19" s="105">
        <f t="shared" si="1"/>
        <v>0</v>
      </c>
      <c r="AB19" s="105">
        <f t="shared" si="2"/>
        <v>0</v>
      </c>
    </row>
    <row r="20" spans="1:28" x14ac:dyDescent="0.15">
      <c r="A20" s="101"/>
      <c r="B20" s="99">
        <f t="shared" si="3"/>
        <v>13</v>
      </c>
      <c r="C20" s="301"/>
      <c r="D20" s="302"/>
      <c r="E20" s="302"/>
      <c r="F20" s="303"/>
      <c r="G20" s="304"/>
      <c r="H20" s="305"/>
      <c r="I20" s="306"/>
      <c r="J20" s="304"/>
      <c r="K20" s="306"/>
      <c r="L20" s="100"/>
      <c r="M20" s="162"/>
      <c r="N20" s="100"/>
      <c r="O20" s="100"/>
      <c r="P20" s="100"/>
      <c r="Q20" s="100"/>
      <c r="R20" s="100"/>
      <c r="S20" s="100"/>
      <c r="T20" s="100"/>
      <c r="U20" s="301"/>
      <c r="V20" s="302"/>
      <c r="W20" s="302"/>
      <c r="X20" s="303"/>
      <c r="Y20" s="98"/>
      <c r="Z20" s="106">
        <f t="shared" si="0"/>
        <v>0</v>
      </c>
      <c r="AA20" s="105">
        <f t="shared" si="1"/>
        <v>0</v>
      </c>
      <c r="AB20" s="105">
        <f t="shared" si="2"/>
        <v>0</v>
      </c>
    </row>
    <row r="21" spans="1:28" x14ac:dyDescent="0.15">
      <c r="A21" s="101"/>
      <c r="B21" s="99">
        <f t="shared" si="3"/>
        <v>14</v>
      </c>
      <c r="C21" s="167"/>
      <c r="D21" s="168"/>
      <c r="E21" s="168"/>
      <c r="F21" s="169"/>
      <c r="G21" s="304"/>
      <c r="H21" s="305"/>
      <c r="I21" s="306"/>
      <c r="J21" s="304"/>
      <c r="K21" s="306"/>
      <c r="L21" s="100"/>
      <c r="M21" s="162"/>
      <c r="N21" s="104"/>
      <c r="O21" s="100"/>
      <c r="P21" s="100"/>
      <c r="Q21" s="100"/>
      <c r="R21" s="100"/>
      <c r="S21" s="100"/>
      <c r="T21" s="100"/>
      <c r="U21" s="301"/>
      <c r="V21" s="302"/>
      <c r="W21" s="302"/>
      <c r="X21" s="303"/>
      <c r="Y21" s="98"/>
      <c r="Z21" s="106">
        <f t="shared" si="0"/>
        <v>0</v>
      </c>
      <c r="AA21" s="105">
        <f t="shared" si="1"/>
        <v>0</v>
      </c>
      <c r="AB21" s="105">
        <f t="shared" si="2"/>
        <v>0</v>
      </c>
    </row>
    <row r="22" spans="1:28" x14ac:dyDescent="0.15">
      <c r="A22" s="101"/>
      <c r="B22" s="99">
        <f t="shared" si="3"/>
        <v>15</v>
      </c>
      <c r="C22" s="301"/>
      <c r="D22" s="302"/>
      <c r="E22" s="302"/>
      <c r="F22" s="303"/>
      <c r="G22" s="304"/>
      <c r="H22" s="305"/>
      <c r="I22" s="306"/>
      <c r="J22" s="304"/>
      <c r="K22" s="306"/>
      <c r="L22" s="100"/>
      <c r="M22" s="162"/>
      <c r="N22" s="100"/>
      <c r="O22" s="100"/>
      <c r="P22" s="100"/>
      <c r="Q22" s="100"/>
      <c r="R22" s="100"/>
      <c r="S22" s="100"/>
      <c r="T22" s="100"/>
      <c r="U22" s="301"/>
      <c r="V22" s="302"/>
      <c r="W22" s="302"/>
      <c r="X22" s="303"/>
      <c r="Y22" s="98"/>
      <c r="Z22" s="106">
        <f t="shared" si="0"/>
        <v>0</v>
      </c>
      <c r="AA22" s="105">
        <f t="shared" si="1"/>
        <v>0</v>
      </c>
      <c r="AB22" s="105">
        <f t="shared" si="2"/>
        <v>0</v>
      </c>
    </row>
    <row r="23" spans="1:28" x14ac:dyDescent="0.15">
      <c r="A23" s="101"/>
      <c r="B23" s="99">
        <f t="shared" si="3"/>
        <v>16</v>
      </c>
      <c r="C23" s="301"/>
      <c r="D23" s="302"/>
      <c r="E23" s="302"/>
      <c r="F23" s="303"/>
      <c r="G23" s="304"/>
      <c r="H23" s="305"/>
      <c r="I23" s="306"/>
      <c r="J23" s="304"/>
      <c r="K23" s="306"/>
      <c r="L23" s="100"/>
      <c r="M23" s="162"/>
      <c r="N23" s="100"/>
      <c r="O23" s="100"/>
      <c r="P23" s="100"/>
      <c r="Q23" s="100"/>
      <c r="R23" s="100"/>
      <c r="S23" s="100"/>
      <c r="T23" s="100"/>
      <c r="U23" s="301"/>
      <c r="V23" s="302"/>
      <c r="W23" s="302"/>
      <c r="X23" s="303"/>
      <c r="Y23" s="98"/>
      <c r="Z23" s="106">
        <f t="shared" si="0"/>
        <v>0</v>
      </c>
      <c r="AA23" s="105">
        <f t="shared" si="1"/>
        <v>0</v>
      </c>
      <c r="AB23" s="105">
        <f t="shared" si="2"/>
        <v>0</v>
      </c>
    </row>
    <row r="24" spans="1:28" x14ac:dyDescent="0.15">
      <c r="A24" s="101"/>
      <c r="B24" s="99">
        <f t="shared" si="3"/>
        <v>17</v>
      </c>
      <c r="C24" s="301"/>
      <c r="D24" s="302"/>
      <c r="E24" s="302"/>
      <c r="F24" s="303"/>
      <c r="G24" s="304"/>
      <c r="H24" s="305"/>
      <c r="I24" s="306"/>
      <c r="J24" s="304"/>
      <c r="K24" s="306"/>
      <c r="L24" s="100"/>
      <c r="M24" s="162"/>
      <c r="N24" s="100"/>
      <c r="O24" s="100"/>
      <c r="P24" s="100"/>
      <c r="Q24" s="100"/>
      <c r="R24" s="100"/>
      <c r="S24" s="100"/>
      <c r="T24" s="100"/>
      <c r="U24" s="301"/>
      <c r="V24" s="302"/>
      <c r="W24" s="302"/>
      <c r="X24" s="303"/>
      <c r="Y24" s="98"/>
      <c r="Z24" s="106">
        <f t="shared" si="0"/>
        <v>0</v>
      </c>
      <c r="AA24" s="105">
        <f t="shared" si="1"/>
        <v>0</v>
      </c>
      <c r="AB24" s="105">
        <f t="shared" si="2"/>
        <v>0</v>
      </c>
    </row>
    <row r="25" spans="1:28" x14ac:dyDescent="0.15">
      <c r="A25" s="101"/>
      <c r="B25" s="99">
        <f t="shared" si="3"/>
        <v>18</v>
      </c>
      <c r="C25" s="301"/>
      <c r="D25" s="302"/>
      <c r="E25" s="302"/>
      <c r="F25" s="303"/>
      <c r="G25" s="304"/>
      <c r="H25" s="305"/>
      <c r="I25" s="306"/>
      <c r="J25" s="304"/>
      <c r="K25" s="306"/>
      <c r="L25" s="100"/>
      <c r="M25" s="162"/>
      <c r="N25" s="100"/>
      <c r="O25" s="100"/>
      <c r="P25" s="100"/>
      <c r="Q25" s="100"/>
      <c r="R25" s="100"/>
      <c r="S25" s="100"/>
      <c r="T25" s="100"/>
      <c r="U25" s="301"/>
      <c r="V25" s="302"/>
      <c r="W25" s="302"/>
      <c r="X25" s="303"/>
      <c r="Y25" s="98"/>
      <c r="Z25" s="106">
        <f t="shared" si="0"/>
        <v>0</v>
      </c>
      <c r="AA25" s="105">
        <f t="shared" si="1"/>
        <v>0</v>
      </c>
      <c r="AB25" s="105">
        <f t="shared" si="2"/>
        <v>0</v>
      </c>
    </row>
    <row r="26" spans="1:28" x14ac:dyDescent="0.15">
      <c r="A26" s="101"/>
      <c r="B26" s="99">
        <f t="shared" si="3"/>
        <v>19</v>
      </c>
      <c r="C26" s="167"/>
      <c r="D26" s="168"/>
      <c r="E26" s="168"/>
      <c r="F26" s="169"/>
      <c r="G26" s="304"/>
      <c r="H26" s="305"/>
      <c r="I26" s="306"/>
      <c r="J26" s="304"/>
      <c r="K26" s="306"/>
      <c r="L26" s="100"/>
      <c r="M26" s="162"/>
      <c r="N26" s="104"/>
      <c r="O26" s="100"/>
      <c r="P26" s="100"/>
      <c r="Q26" s="100"/>
      <c r="R26" s="100"/>
      <c r="S26" s="100"/>
      <c r="T26" s="100"/>
      <c r="U26" s="301"/>
      <c r="V26" s="302"/>
      <c r="W26" s="302"/>
      <c r="X26" s="303"/>
      <c r="Y26" s="98"/>
      <c r="Z26" s="106">
        <f t="shared" si="0"/>
        <v>0</v>
      </c>
      <c r="AA26" s="105">
        <f t="shared" si="1"/>
        <v>0</v>
      </c>
      <c r="AB26" s="105">
        <f t="shared" si="2"/>
        <v>0</v>
      </c>
    </row>
    <row r="27" spans="1:28" x14ac:dyDescent="0.15">
      <c r="A27" s="101"/>
      <c r="B27" s="99">
        <f t="shared" si="3"/>
        <v>20</v>
      </c>
      <c r="C27" s="301"/>
      <c r="D27" s="302"/>
      <c r="E27" s="302"/>
      <c r="F27" s="303"/>
      <c r="G27" s="304"/>
      <c r="H27" s="305"/>
      <c r="I27" s="306"/>
      <c r="J27" s="304"/>
      <c r="K27" s="306"/>
      <c r="L27" s="100"/>
      <c r="M27" s="162"/>
      <c r="N27" s="104"/>
      <c r="O27" s="100"/>
      <c r="P27" s="100"/>
      <c r="Q27" s="100"/>
      <c r="R27" s="100"/>
      <c r="S27" s="100"/>
      <c r="T27" s="100"/>
      <c r="U27" s="301"/>
      <c r="V27" s="302"/>
      <c r="W27" s="302"/>
      <c r="X27" s="303"/>
      <c r="Y27" s="98"/>
      <c r="Z27" s="106">
        <f t="shared" si="0"/>
        <v>0</v>
      </c>
      <c r="AA27" s="105">
        <f t="shared" si="1"/>
        <v>0</v>
      </c>
      <c r="AB27" s="105">
        <f t="shared" si="2"/>
        <v>0</v>
      </c>
    </row>
    <row r="28" spans="1:28" x14ac:dyDescent="0.15">
      <c r="A28" s="101"/>
      <c r="B28" s="99">
        <f t="shared" si="3"/>
        <v>21</v>
      </c>
      <c r="C28" s="301"/>
      <c r="D28" s="302"/>
      <c r="E28" s="302"/>
      <c r="F28" s="303"/>
      <c r="G28" s="304"/>
      <c r="H28" s="305"/>
      <c r="I28" s="306"/>
      <c r="J28" s="304"/>
      <c r="K28" s="306"/>
      <c r="L28" s="100"/>
      <c r="M28" s="162"/>
      <c r="N28" s="104"/>
      <c r="O28" s="100"/>
      <c r="P28" s="100"/>
      <c r="Q28" s="100"/>
      <c r="R28" s="100"/>
      <c r="S28" s="100"/>
      <c r="T28" s="100"/>
      <c r="U28" s="301"/>
      <c r="V28" s="302"/>
      <c r="W28" s="302"/>
      <c r="X28" s="303"/>
      <c r="Y28" s="98"/>
      <c r="Z28" s="106">
        <f t="shared" si="0"/>
        <v>0</v>
      </c>
      <c r="AA28" s="105">
        <f t="shared" si="1"/>
        <v>0</v>
      </c>
      <c r="AB28" s="105">
        <f t="shared" si="2"/>
        <v>0</v>
      </c>
    </row>
    <row r="29" spans="1:28" x14ac:dyDescent="0.15">
      <c r="A29" s="101"/>
      <c r="B29" s="99">
        <f t="shared" si="3"/>
        <v>22</v>
      </c>
      <c r="C29" s="301"/>
      <c r="D29" s="302"/>
      <c r="E29" s="302"/>
      <c r="F29" s="303"/>
      <c r="G29" s="304"/>
      <c r="H29" s="305"/>
      <c r="I29" s="306"/>
      <c r="J29" s="304"/>
      <c r="K29" s="306"/>
      <c r="L29" s="100"/>
      <c r="M29" s="162"/>
      <c r="N29" s="100"/>
      <c r="O29" s="100"/>
      <c r="P29" s="100"/>
      <c r="Q29" s="100"/>
      <c r="R29" s="100"/>
      <c r="S29" s="100"/>
      <c r="T29" s="100"/>
      <c r="U29" s="301"/>
      <c r="V29" s="302"/>
      <c r="W29" s="302"/>
      <c r="X29" s="303"/>
      <c r="Y29" s="98"/>
      <c r="Z29" s="106">
        <f t="shared" si="0"/>
        <v>0</v>
      </c>
      <c r="AA29" s="105">
        <f t="shared" si="1"/>
        <v>0</v>
      </c>
      <c r="AB29" s="105">
        <f t="shared" si="2"/>
        <v>0</v>
      </c>
    </row>
    <row r="30" spans="1:28" x14ac:dyDescent="0.15">
      <c r="A30" s="101"/>
      <c r="B30" s="99">
        <f t="shared" si="3"/>
        <v>23</v>
      </c>
      <c r="C30" s="301"/>
      <c r="D30" s="302"/>
      <c r="E30" s="302"/>
      <c r="F30" s="303"/>
      <c r="G30" s="304"/>
      <c r="H30" s="305"/>
      <c r="I30" s="306"/>
      <c r="J30" s="304"/>
      <c r="K30" s="306"/>
      <c r="L30" s="100"/>
      <c r="M30" s="162"/>
      <c r="N30" s="100"/>
      <c r="O30" s="100"/>
      <c r="P30" s="100"/>
      <c r="Q30" s="100"/>
      <c r="R30" s="100"/>
      <c r="S30" s="100"/>
      <c r="T30" s="100"/>
      <c r="U30" s="301"/>
      <c r="V30" s="302"/>
      <c r="W30" s="302"/>
      <c r="X30" s="303"/>
      <c r="Y30" s="98"/>
      <c r="Z30" s="106">
        <f t="shared" si="0"/>
        <v>0</v>
      </c>
      <c r="AA30" s="105">
        <f t="shared" si="1"/>
        <v>0</v>
      </c>
      <c r="AB30" s="105">
        <f t="shared" si="2"/>
        <v>0</v>
      </c>
    </row>
    <row r="31" spans="1:28" x14ac:dyDescent="0.15">
      <c r="A31" s="101"/>
      <c r="B31" s="99">
        <f t="shared" si="3"/>
        <v>24</v>
      </c>
      <c r="C31" s="301"/>
      <c r="D31" s="302"/>
      <c r="E31" s="302"/>
      <c r="F31" s="303"/>
      <c r="G31" s="304"/>
      <c r="H31" s="305"/>
      <c r="I31" s="306"/>
      <c r="J31" s="304"/>
      <c r="K31" s="306"/>
      <c r="L31" s="100"/>
      <c r="M31" s="100"/>
      <c r="N31" s="100"/>
      <c r="O31" s="100"/>
      <c r="P31" s="100"/>
      <c r="Q31" s="100"/>
      <c r="R31" s="100"/>
      <c r="S31" s="100"/>
      <c r="T31" s="100"/>
      <c r="U31" s="301"/>
      <c r="V31" s="302"/>
      <c r="W31" s="302"/>
      <c r="X31" s="303"/>
      <c r="Y31" s="98"/>
      <c r="Z31" s="106">
        <f t="shared" si="0"/>
        <v>0</v>
      </c>
      <c r="AA31" s="105">
        <f t="shared" si="1"/>
        <v>0</v>
      </c>
      <c r="AB31" s="105">
        <f t="shared" si="2"/>
        <v>0</v>
      </c>
    </row>
    <row r="32" spans="1:28" x14ac:dyDescent="0.15">
      <c r="A32" s="101"/>
      <c r="B32" s="99">
        <f t="shared" si="3"/>
        <v>25</v>
      </c>
      <c r="C32" s="301"/>
      <c r="D32" s="302"/>
      <c r="E32" s="302"/>
      <c r="F32" s="303"/>
      <c r="G32" s="304"/>
      <c r="H32" s="305"/>
      <c r="I32" s="306"/>
      <c r="J32" s="304"/>
      <c r="K32" s="306"/>
      <c r="L32" s="100"/>
      <c r="M32" s="100"/>
      <c r="N32" s="100"/>
      <c r="O32" s="100"/>
      <c r="P32" s="100"/>
      <c r="Q32" s="100"/>
      <c r="R32" s="100"/>
      <c r="S32" s="100"/>
      <c r="T32" s="100"/>
      <c r="U32" s="301"/>
      <c r="V32" s="302"/>
      <c r="W32" s="302"/>
      <c r="X32" s="303"/>
      <c r="Y32" s="98"/>
      <c r="Z32" s="106">
        <f t="shared" si="0"/>
        <v>0</v>
      </c>
      <c r="AA32" s="105">
        <f t="shared" si="1"/>
        <v>0</v>
      </c>
      <c r="AB32" s="105">
        <f t="shared" si="2"/>
        <v>0</v>
      </c>
    </row>
    <row r="33" spans="1:28" x14ac:dyDescent="0.15">
      <c r="A33" s="101"/>
      <c r="B33" s="99">
        <f t="shared" si="3"/>
        <v>26</v>
      </c>
      <c r="C33" s="301"/>
      <c r="D33" s="302"/>
      <c r="E33" s="302"/>
      <c r="F33" s="303"/>
      <c r="G33" s="304"/>
      <c r="H33" s="305"/>
      <c r="I33" s="306"/>
      <c r="J33" s="304"/>
      <c r="K33" s="306"/>
      <c r="L33" s="100"/>
      <c r="M33" s="100"/>
      <c r="N33" s="100"/>
      <c r="O33" s="100"/>
      <c r="P33" s="100"/>
      <c r="Q33" s="100"/>
      <c r="R33" s="100"/>
      <c r="S33" s="100"/>
      <c r="T33" s="100"/>
      <c r="U33" s="301"/>
      <c r="V33" s="302"/>
      <c r="W33" s="302"/>
      <c r="X33" s="303"/>
      <c r="Y33" s="98"/>
      <c r="Z33" s="106">
        <f t="shared" si="0"/>
        <v>0</v>
      </c>
      <c r="AA33" s="105">
        <f t="shared" si="1"/>
        <v>0</v>
      </c>
      <c r="AB33" s="105">
        <f t="shared" si="2"/>
        <v>0</v>
      </c>
    </row>
    <row r="34" spans="1:28" x14ac:dyDescent="0.15">
      <c r="A34" s="101"/>
      <c r="B34" s="99">
        <f t="shared" si="3"/>
        <v>27</v>
      </c>
      <c r="C34" s="301"/>
      <c r="D34" s="302"/>
      <c r="E34" s="302"/>
      <c r="F34" s="303"/>
      <c r="G34" s="304"/>
      <c r="H34" s="305"/>
      <c r="I34" s="306"/>
      <c r="J34" s="304"/>
      <c r="K34" s="306"/>
      <c r="L34" s="100"/>
      <c r="M34" s="100"/>
      <c r="N34" s="100"/>
      <c r="O34" s="100"/>
      <c r="P34" s="100"/>
      <c r="Q34" s="100"/>
      <c r="R34" s="100"/>
      <c r="S34" s="100"/>
      <c r="T34" s="100"/>
      <c r="U34" s="301"/>
      <c r="V34" s="302"/>
      <c r="W34" s="302"/>
      <c r="X34" s="303"/>
      <c r="Y34" s="98"/>
      <c r="Z34" s="106">
        <f t="shared" si="0"/>
        <v>0</v>
      </c>
      <c r="AA34" s="105">
        <f t="shared" si="1"/>
        <v>0</v>
      </c>
      <c r="AB34" s="105">
        <f t="shared" si="2"/>
        <v>0</v>
      </c>
    </row>
    <row r="35" spans="1:28" x14ac:dyDescent="0.15">
      <c r="A35" s="101"/>
      <c r="B35" s="99">
        <f t="shared" si="3"/>
        <v>28</v>
      </c>
      <c r="C35" s="301"/>
      <c r="D35" s="302"/>
      <c r="E35" s="302"/>
      <c r="F35" s="303"/>
      <c r="G35" s="304"/>
      <c r="H35" s="305"/>
      <c r="I35" s="306"/>
      <c r="J35" s="304"/>
      <c r="K35" s="306"/>
      <c r="L35" s="100"/>
      <c r="M35" s="100"/>
      <c r="N35" s="100"/>
      <c r="O35" s="100"/>
      <c r="P35" s="100"/>
      <c r="Q35" s="100"/>
      <c r="R35" s="100"/>
      <c r="S35" s="100"/>
      <c r="T35" s="100"/>
      <c r="U35" s="301"/>
      <c r="V35" s="302"/>
      <c r="W35" s="302"/>
      <c r="X35" s="303"/>
      <c r="Y35" s="98"/>
      <c r="Z35" s="106">
        <f t="shared" si="0"/>
        <v>0</v>
      </c>
      <c r="AA35" s="105">
        <f t="shared" si="1"/>
        <v>0</v>
      </c>
      <c r="AB35" s="105">
        <f t="shared" si="2"/>
        <v>0</v>
      </c>
    </row>
    <row r="36" spans="1:28" x14ac:dyDescent="0.15">
      <c r="A36" s="101"/>
      <c r="B36" s="99">
        <f t="shared" si="3"/>
        <v>29</v>
      </c>
      <c r="C36" s="301"/>
      <c r="D36" s="302"/>
      <c r="E36" s="302"/>
      <c r="F36" s="303"/>
      <c r="G36" s="304"/>
      <c r="H36" s="305"/>
      <c r="I36" s="306"/>
      <c r="J36" s="304"/>
      <c r="K36" s="306"/>
      <c r="L36" s="100"/>
      <c r="M36" s="100"/>
      <c r="N36" s="100"/>
      <c r="O36" s="100"/>
      <c r="P36" s="100"/>
      <c r="Q36" s="100"/>
      <c r="R36" s="100"/>
      <c r="S36" s="100"/>
      <c r="T36" s="100"/>
      <c r="U36" s="301"/>
      <c r="V36" s="302"/>
      <c r="W36" s="302"/>
      <c r="X36" s="303"/>
      <c r="Y36" s="98"/>
      <c r="Z36" s="106">
        <f t="shared" si="0"/>
        <v>0</v>
      </c>
      <c r="AA36" s="105">
        <f t="shared" si="1"/>
        <v>0</v>
      </c>
      <c r="AB36" s="105">
        <f t="shared" si="2"/>
        <v>0</v>
      </c>
    </row>
    <row r="37" spans="1:28" x14ac:dyDescent="0.15">
      <c r="A37" s="101"/>
      <c r="B37" s="99">
        <f t="shared" si="3"/>
        <v>30</v>
      </c>
      <c r="C37" s="301"/>
      <c r="D37" s="302"/>
      <c r="E37" s="302"/>
      <c r="F37" s="303"/>
      <c r="G37" s="304"/>
      <c r="H37" s="305"/>
      <c r="I37" s="306"/>
      <c r="J37" s="304"/>
      <c r="K37" s="306"/>
      <c r="L37" s="100"/>
      <c r="M37" s="100"/>
      <c r="N37" s="100"/>
      <c r="O37" s="100"/>
      <c r="P37" s="100"/>
      <c r="Q37" s="100"/>
      <c r="R37" s="100"/>
      <c r="S37" s="100"/>
      <c r="T37" s="100"/>
      <c r="U37" s="301"/>
      <c r="V37" s="302"/>
      <c r="W37" s="302"/>
      <c r="X37" s="303"/>
      <c r="Y37" s="98"/>
      <c r="Z37" s="106">
        <f t="shared" si="0"/>
        <v>0</v>
      </c>
      <c r="AA37" s="105">
        <f t="shared" si="1"/>
        <v>0</v>
      </c>
      <c r="AB37" s="105">
        <f t="shared" si="2"/>
        <v>0</v>
      </c>
    </row>
    <row r="38" spans="1:28" x14ac:dyDescent="0.15">
      <c r="A38" s="101"/>
      <c r="B38" s="298" t="s">
        <v>122</v>
      </c>
      <c r="C38" s="299"/>
      <c r="D38" s="299"/>
      <c r="E38" s="299"/>
      <c r="F38" s="299"/>
      <c r="G38" s="299"/>
      <c r="H38" s="299"/>
      <c r="I38" s="299"/>
      <c r="J38" s="299"/>
      <c r="K38" s="299"/>
      <c r="L38" s="299"/>
      <c r="M38" s="299"/>
      <c r="N38" s="299"/>
      <c r="O38" s="299"/>
      <c r="P38" s="299"/>
      <c r="Q38" s="299"/>
      <c r="R38" s="299"/>
      <c r="S38" s="299"/>
      <c r="T38" s="299"/>
      <c r="U38" s="299"/>
      <c r="V38" s="299"/>
      <c r="W38" s="299"/>
      <c r="X38" s="300"/>
      <c r="Y38" s="98"/>
      <c r="Z38" s="92"/>
    </row>
    <row r="39" spans="1:28" x14ac:dyDescent="0.15">
      <c r="A39" s="101"/>
      <c r="B39" s="101"/>
      <c r="C39" s="92"/>
      <c r="D39" s="92"/>
      <c r="E39" s="92"/>
      <c r="F39" s="92"/>
      <c r="G39" s="92"/>
      <c r="H39" s="92"/>
      <c r="I39" s="92"/>
      <c r="J39" s="92"/>
      <c r="K39" s="92"/>
      <c r="L39" s="92"/>
      <c r="M39" s="92"/>
      <c r="N39" s="92"/>
      <c r="O39" s="92"/>
      <c r="P39" s="92"/>
      <c r="Q39" s="92"/>
      <c r="R39" s="92"/>
      <c r="S39" s="92"/>
      <c r="T39" s="92"/>
      <c r="U39" s="92"/>
      <c r="V39" s="92"/>
      <c r="W39" s="92"/>
      <c r="X39" s="98"/>
      <c r="Y39" s="98"/>
      <c r="Z39" s="92"/>
    </row>
    <row r="40" spans="1:28" x14ac:dyDescent="0.15">
      <c r="A40" s="101"/>
      <c r="B40" s="101"/>
      <c r="C40" s="92"/>
      <c r="D40" s="92"/>
      <c r="E40" s="92"/>
      <c r="F40" s="92"/>
      <c r="G40" s="92"/>
      <c r="H40" s="92"/>
      <c r="I40" s="92"/>
      <c r="J40" s="92"/>
      <c r="K40" s="92"/>
      <c r="L40" s="92"/>
      <c r="M40" s="92"/>
      <c r="N40" s="92"/>
      <c r="O40" s="92"/>
      <c r="P40" s="92"/>
      <c r="Q40" s="92"/>
      <c r="R40" s="92"/>
      <c r="S40" s="92"/>
      <c r="T40" s="92"/>
      <c r="U40" s="92"/>
      <c r="V40" s="92"/>
      <c r="W40" s="92"/>
      <c r="X40" s="98"/>
      <c r="Y40" s="98"/>
      <c r="Z40" s="92"/>
    </row>
    <row r="41" spans="1:28" x14ac:dyDescent="0.15">
      <c r="A41" s="101"/>
      <c r="B41" s="101"/>
      <c r="C41" s="92"/>
      <c r="D41" s="92"/>
      <c r="E41" s="92"/>
      <c r="F41" s="92"/>
      <c r="G41" s="92"/>
      <c r="H41" s="92"/>
      <c r="I41" s="92"/>
      <c r="J41" s="92"/>
      <c r="K41" s="92"/>
      <c r="L41" s="92"/>
      <c r="M41" s="92"/>
      <c r="N41" s="92"/>
      <c r="O41" s="92"/>
      <c r="P41" s="92"/>
      <c r="Q41" s="92"/>
      <c r="R41" s="92"/>
      <c r="S41" s="92"/>
      <c r="T41" s="92"/>
      <c r="U41" s="92"/>
      <c r="V41" s="92"/>
      <c r="W41" s="92"/>
      <c r="X41" s="98"/>
      <c r="Y41" s="98"/>
      <c r="Z41" s="92"/>
    </row>
    <row r="42" spans="1:28" x14ac:dyDescent="0.15">
      <c r="A42" s="101"/>
      <c r="B42" s="102"/>
      <c r="C42" s="93"/>
      <c r="D42" s="93"/>
      <c r="E42" s="93"/>
      <c r="F42" s="93"/>
      <c r="G42" s="93"/>
      <c r="H42" s="93"/>
      <c r="I42" s="93"/>
      <c r="J42" s="93"/>
      <c r="K42" s="93"/>
      <c r="L42" s="93"/>
      <c r="M42" s="93"/>
      <c r="N42" s="93"/>
      <c r="O42" s="93"/>
      <c r="P42" s="93"/>
      <c r="Q42" s="93"/>
      <c r="R42" s="93"/>
      <c r="S42" s="93"/>
      <c r="T42" s="93"/>
      <c r="U42" s="93"/>
      <c r="V42" s="93"/>
      <c r="W42" s="93"/>
      <c r="X42" s="103"/>
      <c r="Y42" s="98"/>
      <c r="Z42" s="92"/>
    </row>
    <row r="43" spans="1:28" x14ac:dyDescent="0.15">
      <c r="A43" s="102"/>
      <c r="B43" s="93"/>
      <c r="C43" s="93"/>
      <c r="D43" s="93"/>
      <c r="E43" s="93"/>
      <c r="F43" s="93"/>
      <c r="G43" s="93"/>
      <c r="H43" s="93"/>
      <c r="I43" s="93"/>
      <c r="J43" s="93"/>
      <c r="K43" s="93"/>
      <c r="L43" s="93"/>
      <c r="M43" s="93"/>
      <c r="N43" s="93"/>
      <c r="O43" s="93"/>
      <c r="P43" s="93"/>
      <c r="Q43" s="93"/>
      <c r="R43" s="93"/>
      <c r="S43" s="93"/>
      <c r="T43" s="93"/>
      <c r="U43" s="93"/>
      <c r="V43" s="93"/>
      <c r="W43" s="93"/>
      <c r="X43" s="93"/>
      <c r="Y43" s="103"/>
      <c r="Z43" s="92"/>
    </row>
  </sheetData>
  <mergeCells count="135">
    <mergeCell ref="W2:Y3"/>
    <mergeCell ref="A3:B3"/>
    <mergeCell ref="G3:I3"/>
    <mergeCell ref="C7:F7"/>
    <mergeCell ref="G7:I7"/>
    <mergeCell ref="J7:K7"/>
    <mergeCell ref="U7:X7"/>
    <mergeCell ref="A1:F2"/>
    <mergeCell ref="G1:I1"/>
    <mergeCell ref="P1:Q1"/>
    <mergeCell ref="R1:T1"/>
    <mergeCell ref="U1:V1"/>
    <mergeCell ref="W1:Y1"/>
    <mergeCell ref="G2:I2"/>
    <mergeCell ref="P2:Q3"/>
    <mergeCell ref="R2:T3"/>
    <mergeCell ref="U2:V3"/>
    <mergeCell ref="C10:F10"/>
    <mergeCell ref="G10:I10"/>
    <mergeCell ref="J10:K10"/>
    <mergeCell ref="U10:X10"/>
    <mergeCell ref="C11:F11"/>
    <mergeCell ref="G11:I11"/>
    <mergeCell ref="J11:K11"/>
    <mergeCell ref="U11:X11"/>
    <mergeCell ref="C8:F8"/>
    <mergeCell ref="G8:I8"/>
    <mergeCell ref="J8:K8"/>
    <mergeCell ref="U8:X8"/>
    <mergeCell ref="C9:F9"/>
    <mergeCell ref="G9:I9"/>
    <mergeCell ref="J9:K9"/>
    <mergeCell ref="U9:X9"/>
    <mergeCell ref="G14:I14"/>
    <mergeCell ref="J14:K14"/>
    <mergeCell ref="U14:X14"/>
    <mergeCell ref="C15:F15"/>
    <mergeCell ref="G15:I15"/>
    <mergeCell ref="J15:K15"/>
    <mergeCell ref="U15:X15"/>
    <mergeCell ref="C12:F12"/>
    <mergeCell ref="G12:I12"/>
    <mergeCell ref="J12:K12"/>
    <mergeCell ref="U12:X12"/>
    <mergeCell ref="C13:F13"/>
    <mergeCell ref="G13:I13"/>
    <mergeCell ref="J13:K13"/>
    <mergeCell ref="U13:X13"/>
    <mergeCell ref="C18:F18"/>
    <mergeCell ref="G18:I18"/>
    <mergeCell ref="J18:K18"/>
    <mergeCell ref="U18:X18"/>
    <mergeCell ref="C19:F19"/>
    <mergeCell ref="G19:I19"/>
    <mergeCell ref="J19:K19"/>
    <mergeCell ref="U19:X19"/>
    <mergeCell ref="C16:F16"/>
    <mergeCell ref="G16:I16"/>
    <mergeCell ref="J16:K16"/>
    <mergeCell ref="U16:X16"/>
    <mergeCell ref="C17:F17"/>
    <mergeCell ref="G17:I17"/>
    <mergeCell ref="J17:K17"/>
    <mergeCell ref="U17:X17"/>
    <mergeCell ref="C22:F22"/>
    <mergeCell ref="G22:I22"/>
    <mergeCell ref="J22:K22"/>
    <mergeCell ref="U22:X22"/>
    <mergeCell ref="C23:F23"/>
    <mergeCell ref="G23:I23"/>
    <mergeCell ref="J23:K23"/>
    <mergeCell ref="U23:X23"/>
    <mergeCell ref="C20:F20"/>
    <mergeCell ref="G20:I20"/>
    <mergeCell ref="J20:K20"/>
    <mergeCell ref="U20:X20"/>
    <mergeCell ref="G21:I21"/>
    <mergeCell ref="J21:K21"/>
    <mergeCell ref="U21:X21"/>
    <mergeCell ref="G26:I26"/>
    <mergeCell ref="J26:K26"/>
    <mergeCell ref="U26:X26"/>
    <mergeCell ref="C27:F27"/>
    <mergeCell ref="G27:I27"/>
    <mergeCell ref="J27:K27"/>
    <mergeCell ref="U27:X27"/>
    <mergeCell ref="C24:F24"/>
    <mergeCell ref="G24:I24"/>
    <mergeCell ref="J24:K24"/>
    <mergeCell ref="U24:X24"/>
    <mergeCell ref="C25:F25"/>
    <mergeCell ref="G25:I25"/>
    <mergeCell ref="J25:K25"/>
    <mergeCell ref="U25:X25"/>
    <mergeCell ref="C30:F30"/>
    <mergeCell ref="G30:I30"/>
    <mergeCell ref="J30:K30"/>
    <mergeCell ref="U30:X30"/>
    <mergeCell ref="C31:F31"/>
    <mergeCell ref="G31:I31"/>
    <mergeCell ref="J31:K31"/>
    <mergeCell ref="U31:X31"/>
    <mergeCell ref="C28:F28"/>
    <mergeCell ref="G28:I28"/>
    <mergeCell ref="J28:K28"/>
    <mergeCell ref="U28:X28"/>
    <mergeCell ref="C29:F29"/>
    <mergeCell ref="G29:I29"/>
    <mergeCell ref="J29:K29"/>
    <mergeCell ref="U29:X29"/>
    <mergeCell ref="C34:F34"/>
    <mergeCell ref="G34:I34"/>
    <mergeCell ref="J34:K34"/>
    <mergeCell ref="U34:X34"/>
    <mergeCell ref="C35:F35"/>
    <mergeCell ref="G35:I35"/>
    <mergeCell ref="J35:K35"/>
    <mergeCell ref="U35:X35"/>
    <mergeCell ref="C32:F32"/>
    <mergeCell ref="G32:I32"/>
    <mergeCell ref="J32:K32"/>
    <mergeCell ref="U32:X32"/>
    <mergeCell ref="C33:F33"/>
    <mergeCell ref="G33:I33"/>
    <mergeCell ref="J33:K33"/>
    <mergeCell ref="U33:X33"/>
    <mergeCell ref="B38:X38"/>
    <mergeCell ref="C36:F36"/>
    <mergeCell ref="G36:I36"/>
    <mergeCell ref="J36:K36"/>
    <mergeCell ref="U36:X36"/>
    <mergeCell ref="C37:F37"/>
    <mergeCell ref="G37:I37"/>
    <mergeCell ref="J37:K37"/>
    <mergeCell ref="U37:X37"/>
  </mergeCells>
  <phoneticPr fontId="1"/>
  <conditionalFormatting sqref="J8:K8">
    <cfRule type="expression" dxfId="395" priority="133">
      <formula>ISERROR(AB8)</formula>
    </cfRule>
    <cfRule type="expression" dxfId="394" priority="134">
      <formula>ISBLANK(AB8)</formula>
    </cfRule>
    <cfRule type="expression" dxfId="393" priority="135">
      <formula>AND(J8&lt;&gt;"",AB8&lt;=0)</formula>
    </cfRule>
  </conditionalFormatting>
  <conditionalFormatting sqref="J31:K37">
    <cfRule type="expression" dxfId="392" priority="142">
      <formula>ISERROR(AB31)</formula>
    </cfRule>
    <cfRule type="expression" dxfId="391" priority="143">
      <formula>ISBLANK(AB31)</formula>
    </cfRule>
    <cfRule type="expression" dxfId="390" priority="144">
      <formula>AND(J31&lt;&gt;"",AB31&lt;=0)</formula>
    </cfRule>
  </conditionalFormatting>
  <conditionalFormatting sqref="J9:K9">
    <cfRule type="expression" dxfId="389" priority="28">
      <formula>ISERROR(AB9)</formula>
    </cfRule>
    <cfRule type="expression" dxfId="388" priority="29">
      <formula>ISBLANK(AB9)</formula>
    </cfRule>
    <cfRule type="expression" dxfId="387" priority="30">
      <formula>AND(J9&lt;&gt;"",AB9&lt;=0)</formula>
    </cfRule>
  </conditionalFormatting>
  <conditionalFormatting sqref="J25:K25">
    <cfRule type="expression" dxfId="386" priority="46">
      <formula>ISERROR(AB25)</formula>
    </cfRule>
    <cfRule type="expression" dxfId="385" priority="47">
      <formula>ISBLANK(AB25)</formula>
    </cfRule>
    <cfRule type="expression" dxfId="384" priority="48">
      <formula>AND(J25&lt;&gt;"",AB25&lt;=0)</formula>
    </cfRule>
  </conditionalFormatting>
  <conditionalFormatting sqref="J19:K19">
    <cfRule type="expression" dxfId="383" priority="124">
      <formula>ISERROR(AB19)</formula>
    </cfRule>
    <cfRule type="expression" dxfId="382" priority="125">
      <formula>ISBLANK(AB19)</formula>
    </cfRule>
    <cfRule type="expression" dxfId="381" priority="126">
      <formula>AND(J19&lt;&gt;"",AB19&lt;=0)</formula>
    </cfRule>
  </conditionalFormatting>
  <conditionalFormatting sqref="J20:K20">
    <cfRule type="expression" dxfId="380" priority="121">
      <formula>ISERROR(AB20)</formula>
    </cfRule>
    <cfRule type="expression" dxfId="379" priority="122">
      <formula>ISBLANK(AB20)</formula>
    </cfRule>
    <cfRule type="expression" dxfId="378" priority="123">
      <formula>AND(J20&lt;&gt;"",AB20&lt;=0)</formula>
    </cfRule>
  </conditionalFormatting>
  <conditionalFormatting sqref="J21:K21">
    <cfRule type="expression" dxfId="377" priority="118">
      <formula>ISERROR(AB21)</formula>
    </cfRule>
    <cfRule type="expression" dxfId="376" priority="119">
      <formula>ISBLANK(AB21)</formula>
    </cfRule>
    <cfRule type="expression" dxfId="375" priority="120">
      <formula>AND(J21&lt;&gt;"",AB21&lt;=0)</formula>
    </cfRule>
  </conditionalFormatting>
  <conditionalFormatting sqref="J30:K30">
    <cfRule type="expression" dxfId="374" priority="31">
      <formula>ISERROR(AB30)</formula>
    </cfRule>
    <cfRule type="expression" dxfId="373" priority="32">
      <formula>ISBLANK(AB30)</formula>
    </cfRule>
    <cfRule type="expression" dxfId="372" priority="33">
      <formula>AND(J30&lt;&gt;"",AB30&lt;=0)</formula>
    </cfRule>
  </conditionalFormatting>
  <conditionalFormatting sqref="J18:K18">
    <cfRule type="expression" dxfId="371" priority="1">
      <formula>ISERROR(AB18)</formula>
    </cfRule>
    <cfRule type="expression" dxfId="370" priority="2">
      <formula>ISBLANK(AB18)</formula>
    </cfRule>
    <cfRule type="expression" dxfId="369" priority="3">
      <formula>AND(J18&lt;&gt;"",AB18&lt;=0)</formula>
    </cfRule>
  </conditionalFormatting>
  <conditionalFormatting sqref="J12:K12">
    <cfRule type="expression" dxfId="368" priority="25">
      <formula>ISERROR(AB12)</formula>
    </cfRule>
    <cfRule type="expression" dxfId="367" priority="26">
      <formula>ISBLANK(AB12)</formula>
    </cfRule>
    <cfRule type="expression" dxfId="366" priority="27">
      <formula>AND(J12&lt;&gt;"",AB12&lt;=0)</formula>
    </cfRule>
  </conditionalFormatting>
  <conditionalFormatting sqref="J10:K10">
    <cfRule type="expression" dxfId="365" priority="22">
      <formula>ISERROR(AB10)</formula>
    </cfRule>
    <cfRule type="expression" dxfId="364" priority="23">
      <formula>ISBLANK(AB10)</formula>
    </cfRule>
    <cfRule type="expression" dxfId="363" priority="24">
      <formula>AND(J10&lt;&gt;"",AB10&lt;=0)</formula>
    </cfRule>
  </conditionalFormatting>
  <conditionalFormatting sqref="J11:K11">
    <cfRule type="expression" dxfId="362" priority="19">
      <formula>ISERROR(AB11)</formula>
    </cfRule>
    <cfRule type="expression" dxfId="361" priority="20">
      <formula>ISBLANK(AB11)</formula>
    </cfRule>
    <cfRule type="expression" dxfId="360" priority="21">
      <formula>AND(J11&lt;&gt;"",AB11&lt;=0)</formula>
    </cfRule>
  </conditionalFormatting>
  <conditionalFormatting sqref="J29:K29">
    <cfRule type="expression" dxfId="359" priority="34">
      <formula>ISERROR(AB29)</formula>
    </cfRule>
    <cfRule type="expression" dxfId="358" priority="35">
      <formula>ISBLANK(AB29)</formula>
    </cfRule>
    <cfRule type="expression" dxfId="357" priority="36">
      <formula>AND(J29&lt;&gt;"",AB29&lt;=0)</formula>
    </cfRule>
  </conditionalFormatting>
  <conditionalFormatting sqref="J13:K13">
    <cfRule type="expression" dxfId="356" priority="16">
      <formula>ISERROR(AB13)</formula>
    </cfRule>
    <cfRule type="expression" dxfId="355" priority="17">
      <formula>ISBLANK(AB13)</formula>
    </cfRule>
    <cfRule type="expression" dxfId="354" priority="18">
      <formula>AND(J13&lt;&gt;"",AB13&lt;=0)</formula>
    </cfRule>
  </conditionalFormatting>
  <conditionalFormatting sqref="J26:K26">
    <cfRule type="expression" dxfId="353" priority="43">
      <formula>ISERROR(AB26)</formula>
    </cfRule>
    <cfRule type="expression" dxfId="352" priority="44">
      <formula>ISBLANK(AB26)</formula>
    </cfRule>
    <cfRule type="expression" dxfId="351" priority="45">
      <formula>AND(J26&lt;&gt;"",AB26&lt;=0)</formula>
    </cfRule>
  </conditionalFormatting>
  <conditionalFormatting sqref="J27:K27">
    <cfRule type="expression" dxfId="350" priority="40">
      <formula>ISERROR(AB27)</formula>
    </cfRule>
    <cfRule type="expression" dxfId="349" priority="41">
      <formula>ISBLANK(AB27)</formula>
    </cfRule>
    <cfRule type="expression" dxfId="348" priority="42">
      <formula>AND(J27&lt;&gt;"",AB27&lt;=0)</formula>
    </cfRule>
  </conditionalFormatting>
  <conditionalFormatting sqref="J28:K28">
    <cfRule type="expression" dxfId="347" priority="37">
      <formula>ISERROR(AB28)</formula>
    </cfRule>
    <cfRule type="expression" dxfId="346" priority="38">
      <formula>ISBLANK(AB28)</formula>
    </cfRule>
    <cfRule type="expression" dxfId="345" priority="39">
      <formula>AND(J28&lt;&gt;"",AB28&lt;=0)</formula>
    </cfRule>
  </conditionalFormatting>
  <conditionalFormatting sqref="J24:K24">
    <cfRule type="expression" dxfId="344" priority="55">
      <formula>ISERROR(AB24)</formula>
    </cfRule>
    <cfRule type="expression" dxfId="343" priority="56">
      <formula>ISBLANK(AB24)</formula>
    </cfRule>
    <cfRule type="expression" dxfId="342" priority="57">
      <formula>AND(J24&lt;&gt;"",AB24&lt;=0)</formula>
    </cfRule>
  </conditionalFormatting>
  <conditionalFormatting sqref="J22:K22">
    <cfRule type="expression" dxfId="341" priority="52">
      <formula>ISERROR(AB22)</formula>
    </cfRule>
    <cfRule type="expression" dxfId="340" priority="53">
      <formula>ISBLANK(AB22)</formula>
    </cfRule>
    <cfRule type="expression" dxfId="339" priority="54">
      <formula>AND(J22&lt;&gt;"",AB22&lt;=0)</formula>
    </cfRule>
  </conditionalFormatting>
  <conditionalFormatting sqref="J23:K23">
    <cfRule type="expression" dxfId="338" priority="49">
      <formula>ISERROR(AB23)</formula>
    </cfRule>
    <cfRule type="expression" dxfId="337" priority="50">
      <formula>ISBLANK(AB23)</formula>
    </cfRule>
    <cfRule type="expression" dxfId="336" priority="51">
      <formula>AND(J23&lt;&gt;"",AB23&lt;=0)</formula>
    </cfRule>
  </conditionalFormatting>
  <conditionalFormatting sqref="J14:K14">
    <cfRule type="expression" dxfId="335" priority="13">
      <formula>ISERROR(AB14)</formula>
    </cfRule>
    <cfRule type="expression" dxfId="334" priority="14">
      <formula>ISBLANK(AB14)</formula>
    </cfRule>
    <cfRule type="expression" dxfId="333" priority="15">
      <formula>AND(J14&lt;&gt;"",AB14&lt;=0)</formula>
    </cfRule>
  </conditionalFormatting>
  <conditionalFormatting sqref="J15:K15">
    <cfRule type="expression" dxfId="332" priority="10">
      <formula>ISERROR(AB15)</formula>
    </cfRule>
    <cfRule type="expression" dxfId="331" priority="11">
      <formula>ISBLANK(AB15)</formula>
    </cfRule>
    <cfRule type="expression" dxfId="330" priority="12">
      <formula>AND(J15&lt;&gt;"",AB15&lt;=0)</formula>
    </cfRule>
  </conditionalFormatting>
  <conditionalFormatting sqref="J16:K16">
    <cfRule type="expression" dxfId="329" priority="7">
      <formula>ISERROR(AB16)</formula>
    </cfRule>
    <cfRule type="expression" dxfId="328" priority="8">
      <formula>ISBLANK(AB16)</formula>
    </cfRule>
    <cfRule type="expression" dxfId="327" priority="9">
      <formula>AND(J16&lt;&gt;"",AB16&lt;=0)</formula>
    </cfRule>
  </conditionalFormatting>
  <conditionalFormatting sqref="J17:K17">
    <cfRule type="expression" dxfId="326" priority="4">
      <formula>ISERROR(AB17)</formula>
    </cfRule>
    <cfRule type="expression" dxfId="325" priority="5">
      <formula>ISBLANK(AB17)</formula>
    </cfRule>
    <cfRule type="expression" dxfId="324" priority="6">
      <formula>AND(J17&lt;&gt;"",AB17&lt;=0)</formula>
    </cfRule>
  </conditionalFormatting>
  <printOptions horizontalCentered="1"/>
  <pageMargins left="0.23622047244094491" right="0.23622047244094491" top="0.39370078740157483" bottom="0.39370078740157483" header="0" footer="0"/>
  <pageSetup paperSize="9" fitToHeight="0" orientation="landscape" r:id="rId1"/>
  <headerFooter alignWithMargins="0">
    <oddFooter>&amp;L&amp;F&amp;R&amp;P / &amp;N</oddFooter>
  </headerFooter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842F37-A63B-4961-956E-91A282336C35}">
  <sheetPr codeName="Sheet23"/>
  <dimension ref="A1:AE43"/>
  <sheetViews>
    <sheetView showGridLines="0" view="pageBreakPreview" zoomScaleNormal="85" zoomScaleSheetLayoutView="100" workbookViewId="0">
      <selection activeCell="P22" sqref="P22"/>
    </sheetView>
  </sheetViews>
  <sheetFormatPr defaultColWidth="5.625" defaultRowHeight="13.5" x14ac:dyDescent="0.15"/>
  <cols>
    <col min="1" max="16" width="5.625" style="12" customWidth="1"/>
    <col min="17" max="25" width="5.625" style="12"/>
    <col min="26" max="26" width="12.75" style="96" bestFit="1" customWidth="1"/>
    <col min="27" max="27" width="12.75" style="12" bestFit="1" customWidth="1"/>
    <col min="28" max="28" width="18.375" style="12" bestFit="1" customWidth="1"/>
    <col min="29" max="238" width="5.625" style="12"/>
    <col min="239" max="254" width="5.625" style="12" customWidth="1"/>
    <col min="255" max="494" width="5.625" style="12"/>
    <col min="495" max="510" width="5.625" style="12" customWidth="1"/>
    <col min="511" max="750" width="5.625" style="12"/>
    <col min="751" max="766" width="5.625" style="12" customWidth="1"/>
    <col min="767" max="1006" width="5.625" style="12"/>
    <col min="1007" max="1022" width="5.625" style="12" customWidth="1"/>
    <col min="1023" max="1262" width="5.625" style="12"/>
    <col min="1263" max="1278" width="5.625" style="12" customWidth="1"/>
    <col min="1279" max="1518" width="5.625" style="12"/>
    <col min="1519" max="1534" width="5.625" style="12" customWidth="1"/>
    <col min="1535" max="1774" width="5.625" style="12"/>
    <col min="1775" max="1790" width="5.625" style="12" customWidth="1"/>
    <col min="1791" max="2030" width="5.625" style="12"/>
    <col min="2031" max="2046" width="5.625" style="12" customWidth="1"/>
    <col min="2047" max="2286" width="5.625" style="12"/>
    <col min="2287" max="2302" width="5.625" style="12" customWidth="1"/>
    <col min="2303" max="2542" width="5.625" style="12"/>
    <col min="2543" max="2558" width="5.625" style="12" customWidth="1"/>
    <col min="2559" max="2798" width="5.625" style="12"/>
    <col min="2799" max="2814" width="5.625" style="12" customWidth="1"/>
    <col min="2815" max="3054" width="5.625" style="12"/>
    <col min="3055" max="3070" width="5.625" style="12" customWidth="1"/>
    <col min="3071" max="3310" width="5.625" style="12"/>
    <col min="3311" max="3326" width="5.625" style="12" customWidth="1"/>
    <col min="3327" max="3566" width="5.625" style="12"/>
    <col min="3567" max="3582" width="5.625" style="12" customWidth="1"/>
    <col min="3583" max="3822" width="5.625" style="12"/>
    <col min="3823" max="3838" width="5.625" style="12" customWidth="1"/>
    <col min="3839" max="4078" width="5.625" style="12"/>
    <col min="4079" max="4094" width="5.625" style="12" customWidth="1"/>
    <col min="4095" max="4334" width="5.625" style="12"/>
    <col min="4335" max="4350" width="5.625" style="12" customWidth="1"/>
    <col min="4351" max="4590" width="5.625" style="12"/>
    <col min="4591" max="4606" width="5.625" style="12" customWidth="1"/>
    <col min="4607" max="4846" width="5.625" style="12"/>
    <col min="4847" max="4862" width="5.625" style="12" customWidth="1"/>
    <col min="4863" max="5102" width="5.625" style="12"/>
    <col min="5103" max="5118" width="5.625" style="12" customWidth="1"/>
    <col min="5119" max="5358" width="5.625" style="12"/>
    <col min="5359" max="5374" width="5.625" style="12" customWidth="1"/>
    <col min="5375" max="5614" width="5.625" style="12"/>
    <col min="5615" max="5630" width="5.625" style="12" customWidth="1"/>
    <col min="5631" max="5870" width="5.625" style="12"/>
    <col min="5871" max="5886" width="5.625" style="12" customWidth="1"/>
    <col min="5887" max="6126" width="5.625" style="12"/>
    <col min="6127" max="6142" width="5.625" style="12" customWidth="1"/>
    <col min="6143" max="6382" width="5.625" style="12"/>
    <col min="6383" max="6398" width="5.625" style="12" customWidth="1"/>
    <col min="6399" max="6638" width="5.625" style="12"/>
    <col min="6639" max="6654" width="5.625" style="12" customWidth="1"/>
    <col min="6655" max="6894" width="5.625" style="12"/>
    <col min="6895" max="6910" width="5.625" style="12" customWidth="1"/>
    <col min="6911" max="7150" width="5.625" style="12"/>
    <col min="7151" max="7166" width="5.625" style="12" customWidth="1"/>
    <col min="7167" max="7406" width="5.625" style="12"/>
    <col min="7407" max="7422" width="5.625" style="12" customWidth="1"/>
    <col min="7423" max="7662" width="5.625" style="12"/>
    <col min="7663" max="7678" width="5.625" style="12" customWidth="1"/>
    <col min="7679" max="7918" width="5.625" style="12"/>
    <col min="7919" max="7934" width="5.625" style="12" customWidth="1"/>
    <col min="7935" max="8174" width="5.625" style="12"/>
    <col min="8175" max="8190" width="5.625" style="12" customWidth="1"/>
    <col min="8191" max="8430" width="5.625" style="12"/>
    <col min="8431" max="8446" width="5.625" style="12" customWidth="1"/>
    <col min="8447" max="8686" width="5.625" style="12"/>
    <col min="8687" max="8702" width="5.625" style="12" customWidth="1"/>
    <col min="8703" max="8942" width="5.625" style="12"/>
    <col min="8943" max="8958" width="5.625" style="12" customWidth="1"/>
    <col min="8959" max="9198" width="5.625" style="12"/>
    <col min="9199" max="9214" width="5.625" style="12" customWidth="1"/>
    <col min="9215" max="9454" width="5.625" style="12"/>
    <col min="9455" max="9470" width="5.625" style="12" customWidth="1"/>
    <col min="9471" max="9710" width="5.625" style="12"/>
    <col min="9711" max="9726" width="5.625" style="12" customWidth="1"/>
    <col min="9727" max="9966" width="5.625" style="12"/>
    <col min="9967" max="9982" width="5.625" style="12" customWidth="1"/>
    <col min="9983" max="10222" width="5.625" style="12"/>
    <col min="10223" max="10238" width="5.625" style="12" customWidth="1"/>
    <col min="10239" max="10478" width="5.625" style="12"/>
    <col min="10479" max="10494" width="5.625" style="12" customWidth="1"/>
    <col min="10495" max="10734" width="5.625" style="12"/>
    <col min="10735" max="10750" width="5.625" style="12" customWidth="1"/>
    <col min="10751" max="10990" width="5.625" style="12"/>
    <col min="10991" max="11006" width="5.625" style="12" customWidth="1"/>
    <col min="11007" max="11246" width="5.625" style="12"/>
    <col min="11247" max="11262" width="5.625" style="12" customWidth="1"/>
    <col min="11263" max="11502" width="5.625" style="12"/>
    <col min="11503" max="11518" width="5.625" style="12" customWidth="1"/>
    <col min="11519" max="11758" width="5.625" style="12"/>
    <col min="11759" max="11774" width="5.625" style="12" customWidth="1"/>
    <col min="11775" max="12014" width="5.625" style="12"/>
    <col min="12015" max="12030" width="5.625" style="12" customWidth="1"/>
    <col min="12031" max="12270" width="5.625" style="12"/>
    <col min="12271" max="12286" width="5.625" style="12" customWidth="1"/>
    <col min="12287" max="12526" width="5.625" style="12"/>
    <col min="12527" max="12542" width="5.625" style="12" customWidth="1"/>
    <col min="12543" max="12782" width="5.625" style="12"/>
    <col min="12783" max="12798" width="5.625" style="12" customWidth="1"/>
    <col min="12799" max="13038" width="5.625" style="12"/>
    <col min="13039" max="13054" width="5.625" style="12" customWidth="1"/>
    <col min="13055" max="13294" width="5.625" style="12"/>
    <col min="13295" max="13310" width="5.625" style="12" customWidth="1"/>
    <col min="13311" max="13550" width="5.625" style="12"/>
    <col min="13551" max="13566" width="5.625" style="12" customWidth="1"/>
    <col min="13567" max="13806" width="5.625" style="12"/>
    <col min="13807" max="13822" width="5.625" style="12" customWidth="1"/>
    <col min="13823" max="14062" width="5.625" style="12"/>
    <col min="14063" max="14078" width="5.625" style="12" customWidth="1"/>
    <col min="14079" max="14318" width="5.625" style="12"/>
    <col min="14319" max="14334" width="5.625" style="12" customWidth="1"/>
    <col min="14335" max="14574" width="5.625" style="12"/>
    <col min="14575" max="14590" width="5.625" style="12" customWidth="1"/>
    <col min="14591" max="14830" width="5.625" style="12"/>
    <col min="14831" max="14846" width="5.625" style="12" customWidth="1"/>
    <col min="14847" max="15086" width="5.625" style="12"/>
    <col min="15087" max="15102" width="5.625" style="12" customWidth="1"/>
    <col min="15103" max="15342" width="5.625" style="12"/>
    <col min="15343" max="15358" width="5.625" style="12" customWidth="1"/>
    <col min="15359" max="15598" width="5.625" style="12"/>
    <col min="15599" max="15614" width="5.625" style="12" customWidth="1"/>
    <col min="15615" max="15854" width="5.625" style="12"/>
    <col min="15855" max="15870" width="5.625" style="12" customWidth="1"/>
    <col min="15871" max="16110" width="5.625" style="12"/>
    <col min="16111" max="16126" width="5.625" style="12" customWidth="1"/>
    <col min="16127" max="16384" width="5.625" style="12"/>
  </cols>
  <sheetData>
    <row r="1" spans="1:31" ht="13.5" customHeight="1" x14ac:dyDescent="0.15">
      <c r="A1" s="260" t="s">
        <v>81</v>
      </c>
      <c r="B1" s="261"/>
      <c r="C1" s="261"/>
      <c r="D1" s="261"/>
      <c r="E1" s="261"/>
      <c r="F1" s="262"/>
      <c r="G1" s="311" t="s">
        <v>5</v>
      </c>
      <c r="H1" s="312"/>
      <c r="I1" s="313"/>
      <c r="J1" s="21"/>
      <c r="K1" s="94"/>
      <c r="L1" s="94"/>
      <c r="M1" s="94"/>
      <c r="N1" s="94"/>
      <c r="O1" s="94"/>
      <c r="P1" s="311" t="s">
        <v>8</v>
      </c>
      <c r="Q1" s="313"/>
      <c r="R1" s="311" t="s">
        <v>7</v>
      </c>
      <c r="S1" s="312"/>
      <c r="T1" s="313"/>
      <c r="U1" s="311" t="s">
        <v>9</v>
      </c>
      <c r="V1" s="313"/>
      <c r="W1" s="311" t="s">
        <v>10</v>
      </c>
      <c r="X1" s="312"/>
      <c r="Y1" s="313"/>
      <c r="Z1" s="107"/>
      <c r="AA1" s="12" t="s">
        <v>128</v>
      </c>
      <c r="AE1" s="12" t="s">
        <v>124</v>
      </c>
    </row>
    <row r="2" spans="1:31" ht="13.5" customHeight="1" x14ac:dyDescent="0.15">
      <c r="A2" s="266"/>
      <c r="B2" s="267"/>
      <c r="C2" s="267"/>
      <c r="D2" s="267"/>
      <c r="E2" s="267"/>
      <c r="F2" s="268"/>
      <c r="G2" s="311" t="s">
        <v>6</v>
      </c>
      <c r="H2" s="312"/>
      <c r="I2" s="313"/>
      <c r="J2" s="21"/>
      <c r="K2" s="95"/>
      <c r="L2" s="95"/>
      <c r="M2" s="95"/>
      <c r="N2" s="95"/>
      <c r="O2" s="95"/>
      <c r="P2" s="246"/>
      <c r="Q2" s="247"/>
      <c r="R2" s="273"/>
      <c r="S2" s="274"/>
      <c r="T2" s="275"/>
      <c r="U2" s="246"/>
      <c r="V2" s="247"/>
      <c r="W2" s="273"/>
      <c r="X2" s="274"/>
      <c r="Y2" s="275"/>
      <c r="Z2" s="107"/>
      <c r="AA2" s="12">
        <f>SUM(AB:AB)</f>
        <v>12</v>
      </c>
    </row>
    <row r="3" spans="1:31" ht="13.5" customHeight="1" x14ac:dyDescent="0.15">
      <c r="A3" s="311" t="s">
        <v>82</v>
      </c>
      <c r="B3" s="312"/>
      <c r="C3" s="21" t="str">
        <f ca="1">RIGHT(CELL("filename",A2),LEN(CELL("filename",A2))-FIND("]",CELL("filename",A2)))</f>
        <v>経営ﾘｽｸﾋﾞｭｰ</v>
      </c>
      <c r="D3" s="95"/>
      <c r="E3" s="95"/>
      <c r="F3" s="95"/>
      <c r="G3" s="311" t="s">
        <v>83</v>
      </c>
      <c r="H3" s="312"/>
      <c r="I3" s="313"/>
      <c r="J3" s="21" t="s">
        <v>239</v>
      </c>
      <c r="K3" s="95"/>
      <c r="L3" s="95"/>
      <c r="M3" s="95"/>
      <c r="N3" s="95"/>
      <c r="O3" s="95"/>
      <c r="P3" s="248"/>
      <c r="Q3" s="249"/>
      <c r="R3" s="276"/>
      <c r="S3" s="277"/>
      <c r="T3" s="278"/>
      <c r="U3" s="248"/>
      <c r="V3" s="249"/>
      <c r="W3" s="276"/>
      <c r="X3" s="277"/>
      <c r="Y3" s="278"/>
      <c r="Z3" s="107"/>
    </row>
    <row r="4" spans="1:31" x14ac:dyDescent="0.15">
      <c r="A4" s="86"/>
      <c r="B4" s="18"/>
      <c r="C4" s="18"/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  <c r="O4" s="18"/>
      <c r="P4" s="18"/>
      <c r="Q4" s="18"/>
      <c r="R4" s="18"/>
      <c r="S4" s="18"/>
      <c r="T4" s="18"/>
      <c r="U4" s="18"/>
      <c r="V4" s="18"/>
      <c r="W4" s="18"/>
      <c r="X4" s="18"/>
      <c r="Y4" s="18"/>
      <c r="Z4" s="92"/>
    </row>
    <row r="5" spans="1:31" ht="13.5" customHeight="1" x14ac:dyDescent="0.15">
      <c r="A5" s="83" t="s">
        <v>93</v>
      </c>
      <c r="B5" s="84"/>
      <c r="C5" s="84"/>
      <c r="D5" s="84"/>
      <c r="E5" s="84"/>
      <c r="F5" s="84"/>
      <c r="G5" s="84"/>
      <c r="H5" s="84"/>
      <c r="I5" s="84"/>
      <c r="J5" s="84"/>
      <c r="K5" s="84"/>
      <c r="L5" s="84"/>
      <c r="M5" s="84"/>
      <c r="N5" s="84"/>
      <c r="O5" s="84"/>
      <c r="P5" s="84"/>
      <c r="Q5" s="84"/>
      <c r="R5" s="84"/>
      <c r="S5" s="84"/>
      <c r="T5" s="84"/>
      <c r="U5" s="84"/>
      <c r="V5" s="84"/>
      <c r="W5" s="84"/>
      <c r="X5" s="84"/>
      <c r="Y5" s="85"/>
      <c r="Z5" s="92"/>
    </row>
    <row r="6" spans="1:31" x14ac:dyDescent="0.15">
      <c r="A6" s="175"/>
      <c r="B6" s="176"/>
      <c r="C6" s="176"/>
      <c r="D6" s="176"/>
      <c r="E6" s="176"/>
      <c r="F6" s="176"/>
      <c r="G6" s="176"/>
      <c r="H6" s="176"/>
      <c r="I6" s="176"/>
      <c r="J6" s="176"/>
      <c r="K6" s="176"/>
      <c r="L6" s="176"/>
      <c r="M6" s="176"/>
      <c r="N6" s="176"/>
      <c r="O6" s="176"/>
      <c r="P6" s="176"/>
      <c r="Q6" s="176"/>
      <c r="R6" s="176"/>
      <c r="S6" s="176"/>
      <c r="T6" s="176"/>
      <c r="U6" s="176"/>
      <c r="V6" s="176"/>
      <c r="W6" s="176"/>
      <c r="X6" s="176"/>
      <c r="Y6" s="177"/>
      <c r="Z6" s="92"/>
    </row>
    <row r="7" spans="1:31" x14ac:dyDescent="0.15">
      <c r="A7" s="17"/>
      <c r="B7" s="170" t="s">
        <v>84</v>
      </c>
      <c r="C7" s="311" t="s">
        <v>205</v>
      </c>
      <c r="D7" s="312"/>
      <c r="E7" s="312"/>
      <c r="F7" s="313"/>
      <c r="G7" s="311" t="s">
        <v>83</v>
      </c>
      <c r="H7" s="312"/>
      <c r="I7" s="313"/>
      <c r="J7" s="311" t="s">
        <v>85</v>
      </c>
      <c r="K7" s="313"/>
      <c r="L7" s="97" t="s">
        <v>86</v>
      </c>
      <c r="M7" s="97" t="s">
        <v>87</v>
      </c>
      <c r="N7" s="97" t="s">
        <v>121</v>
      </c>
      <c r="O7" s="97" t="s">
        <v>88</v>
      </c>
      <c r="P7" s="97" t="s">
        <v>89</v>
      </c>
      <c r="Q7" s="97" t="s">
        <v>89</v>
      </c>
      <c r="R7" s="97" t="s">
        <v>89</v>
      </c>
      <c r="S7" s="97" t="s">
        <v>89</v>
      </c>
      <c r="T7" s="97" t="s">
        <v>89</v>
      </c>
      <c r="U7" s="311" t="s">
        <v>90</v>
      </c>
      <c r="V7" s="312"/>
      <c r="W7" s="312"/>
      <c r="X7" s="313"/>
      <c r="Y7" s="98"/>
      <c r="Z7" s="96" t="s">
        <v>126</v>
      </c>
      <c r="AA7" s="12" t="s">
        <v>127</v>
      </c>
      <c r="AB7" s="12" t="s">
        <v>125</v>
      </c>
    </row>
    <row r="8" spans="1:31" x14ac:dyDescent="0.15">
      <c r="A8" s="17"/>
      <c r="B8" s="99" t="s">
        <v>94</v>
      </c>
      <c r="C8" s="301" t="s">
        <v>209</v>
      </c>
      <c r="D8" s="302"/>
      <c r="E8" s="302"/>
      <c r="F8" s="303"/>
      <c r="G8" s="304">
        <v>1</v>
      </c>
      <c r="H8" s="305"/>
      <c r="I8" s="306"/>
      <c r="J8" s="304" t="s">
        <v>91</v>
      </c>
      <c r="K8" s="306"/>
      <c r="L8" s="100">
        <v>1</v>
      </c>
      <c r="M8" s="100"/>
      <c r="N8" s="100"/>
      <c r="O8" s="100"/>
      <c r="P8" s="100"/>
      <c r="Q8" s="100"/>
      <c r="R8" s="100"/>
      <c r="S8" s="100"/>
      <c r="T8" s="100"/>
      <c r="U8" s="307" t="s">
        <v>210</v>
      </c>
      <c r="V8" s="308"/>
      <c r="W8" s="308"/>
      <c r="X8" s="309"/>
      <c r="Y8" s="98"/>
      <c r="Z8" s="106">
        <f t="shared" ref="Z8:Z37" si="0">IF(LEFT(J8,7)="decimal",INT(MID(J8,9,FIND(",",J8,9)-9)),0)</f>
        <v>0</v>
      </c>
      <c r="AA8" s="105">
        <f t="shared" ref="AA8:AA37" si="1">IF(J8="varbinary(max)",2147483647,IF(J8="bit",1,IF(LEFT(J8,4)="char",INT(MID(J8,6,LEN(J8)-6)),IF(LEFT(J8,7)="varchar",INT(MID(J8,9,LEN(J8)-9)+2),IF(LEFT(J8,8)="nvarchar",INT(MID(J8,10,LEN(J8)-10)*2+2),IF(LEFT(J8,7)="decimal",IF(Z8&lt;10,5,IF(Z8&lt;20,9,IF(Z8&lt;29,13,17))),0))))))</f>
        <v>0</v>
      </c>
      <c r="AB8" s="105">
        <f t="shared" ref="AB8:AB37" si="2">IF(AA8&gt;0,AA8,IF(J8="date",3,IF(OR(J8="int",J8="real"),4,IF(J8="time",5,IF(OR(J8="datetime",J8="float",J8="datetime2"),8,IF(J8="uniqueidentifier",16,0))))))</f>
        <v>4</v>
      </c>
    </row>
    <row r="9" spans="1:31" x14ac:dyDescent="0.15">
      <c r="A9" s="101"/>
      <c r="B9" s="99">
        <f>B8+1</f>
        <v>2</v>
      </c>
      <c r="C9" s="301" t="s">
        <v>229</v>
      </c>
      <c r="D9" s="302"/>
      <c r="E9" s="302"/>
      <c r="F9" s="303"/>
      <c r="G9" s="304">
        <v>1</v>
      </c>
      <c r="H9" s="305"/>
      <c r="I9" s="306"/>
      <c r="J9" s="304" t="s">
        <v>91</v>
      </c>
      <c r="K9" s="306"/>
      <c r="L9" s="100"/>
      <c r="M9" s="171" t="s">
        <v>92</v>
      </c>
      <c r="N9" s="100">
        <v>0</v>
      </c>
      <c r="O9" s="100"/>
      <c r="P9" s="100"/>
      <c r="Q9" s="100"/>
      <c r="R9" s="100"/>
      <c r="S9" s="100"/>
      <c r="T9" s="100"/>
      <c r="U9" s="301" t="s">
        <v>231</v>
      </c>
      <c r="V9" s="302"/>
      <c r="W9" s="302"/>
      <c r="X9" s="303"/>
      <c r="Y9" s="98"/>
      <c r="Z9" s="106">
        <f>IF(LEFT(J9,7)="decimal",INT(MID(J9,9,FIND(",",J9,9)-9)),0)</f>
        <v>0</v>
      </c>
      <c r="AA9" s="105">
        <f>IF(J9="varbinary(max)",2147483647,IF(J9="bit",1,IF(LEFT(J9,4)="char",INT(MID(J9,6,LEN(J9)-6)),IF(LEFT(J9,7)="varchar",INT(MID(J9,9,LEN(J9)-9)+2),IF(LEFT(J9,8)="nvarchar",INT(MID(J9,10,LEN(J9)-10)*2+2),IF(LEFT(J9,7)="decimal",IF(Z9&lt;10,5,IF(Z9&lt;20,9,IF(Z9&lt;29,13,17))),0))))))</f>
        <v>0</v>
      </c>
      <c r="AB9" s="105">
        <f>IF(AA9&gt;0,AA9,IF(J9="date",3,IF(OR(J9="int",J9="real"),4,IF(J9="time",5,IF(OR(J9="datetime",J9="float",J9="datetime2"),8,IF(J9="uniqueidentifier",16,0))))))</f>
        <v>4</v>
      </c>
    </row>
    <row r="10" spans="1:31" x14ac:dyDescent="0.15">
      <c r="A10" s="17"/>
      <c r="B10" s="99">
        <f t="shared" ref="B10:B37" si="3">B9+1</f>
        <v>3</v>
      </c>
      <c r="C10" s="301" t="s">
        <v>230</v>
      </c>
      <c r="D10" s="302"/>
      <c r="E10" s="302"/>
      <c r="F10" s="303"/>
      <c r="G10" s="304">
        <v>1</v>
      </c>
      <c r="H10" s="305"/>
      <c r="I10" s="306"/>
      <c r="J10" s="304" t="s">
        <v>91</v>
      </c>
      <c r="K10" s="306"/>
      <c r="L10" s="100"/>
      <c r="M10" s="171" t="s">
        <v>92</v>
      </c>
      <c r="N10" s="100">
        <v>0</v>
      </c>
      <c r="O10" s="100"/>
      <c r="P10" s="100"/>
      <c r="Q10" s="100"/>
      <c r="R10" s="100"/>
      <c r="S10" s="100"/>
      <c r="T10" s="100"/>
      <c r="U10" s="301" t="s">
        <v>232</v>
      </c>
      <c r="V10" s="302"/>
      <c r="W10" s="302"/>
      <c r="X10" s="303"/>
      <c r="Y10" s="98"/>
      <c r="Z10" s="106">
        <f t="shared" si="0"/>
        <v>0</v>
      </c>
      <c r="AA10" s="105">
        <f t="shared" si="1"/>
        <v>0</v>
      </c>
      <c r="AB10" s="105">
        <f t="shared" si="2"/>
        <v>4</v>
      </c>
    </row>
    <row r="11" spans="1:31" x14ac:dyDescent="0.15">
      <c r="A11" s="17"/>
      <c r="B11" s="99">
        <f t="shared" si="3"/>
        <v>4</v>
      </c>
      <c r="C11" s="301"/>
      <c r="D11" s="302"/>
      <c r="E11" s="302"/>
      <c r="F11" s="303"/>
      <c r="G11" s="304"/>
      <c r="H11" s="305"/>
      <c r="I11" s="306"/>
      <c r="J11" s="304"/>
      <c r="K11" s="306"/>
      <c r="L11" s="100"/>
      <c r="M11" s="171"/>
      <c r="N11" s="100"/>
      <c r="O11" s="100"/>
      <c r="P11" s="100"/>
      <c r="Q11" s="100"/>
      <c r="R11" s="100"/>
      <c r="S11" s="100"/>
      <c r="T11" s="100"/>
      <c r="U11" s="301"/>
      <c r="V11" s="302"/>
      <c r="W11" s="302"/>
      <c r="X11" s="303"/>
      <c r="Y11" s="98"/>
      <c r="Z11" s="106">
        <f t="shared" si="0"/>
        <v>0</v>
      </c>
      <c r="AA11" s="105">
        <f t="shared" si="1"/>
        <v>0</v>
      </c>
      <c r="AB11" s="105">
        <f t="shared" si="2"/>
        <v>0</v>
      </c>
    </row>
    <row r="12" spans="1:31" x14ac:dyDescent="0.15">
      <c r="A12" s="17"/>
      <c r="B12" s="99">
        <f t="shared" si="3"/>
        <v>5</v>
      </c>
      <c r="C12" s="301"/>
      <c r="D12" s="302"/>
      <c r="E12" s="302"/>
      <c r="F12" s="303"/>
      <c r="G12" s="304"/>
      <c r="H12" s="305"/>
      <c r="I12" s="306"/>
      <c r="J12" s="304"/>
      <c r="K12" s="306"/>
      <c r="L12" s="100"/>
      <c r="M12" s="171"/>
      <c r="N12" s="100"/>
      <c r="O12" s="100"/>
      <c r="P12" s="100"/>
      <c r="Q12" s="100"/>
      <c r="R12" s="100"/>
      <c r="S12" s="100"/>
      <c r="T12" s="100"/>
      <c r="U12" s="301"/>
      <c r="V12" s="302"/>
      <c r="W12" s="302"/>
      <c r="X12" s="303"/>
      <c r="Y12" s="98"/>
      <c r="Z12" s="106">
        <f t="shared" si="0"/>
        <v>0</v>
      </c>
      <c r="AA12" s="105">
        <f t="shared" si="1"/>
        <v>0</v>
      </c>
      <c r="AB12" s="105">
        <f t="shared" si="2"/>
        <v>0</v>
      </c>
    </row>
    <row r="13" spans="1:31" x14ac:dyDescent="0.15">
      <c r="A13" s="17"/>
      <c r="B13" s="99">
        <f t="shared" si="3"/>
        <v>6</v>
      </c>
      <c r="C13" s="301"/>
      <c r="D13" s="302"/>
      <c r="E13" s="302"/>
      <c r="F13" s="303"/>
      <c r="G13" s="304"/>
      <c r="H13" s="305"/>
      <c r="I13" s="306"/>
      <c r="J13" s="304"/>
      <c r="K13" s="306"/>
      <c r="L13" s="100"/>
      <c r="M13" s="171"/>
      <c r="N13" s="100"/>
      <c r="O13" s="100"/>
      <c r="P13" s="100"/>
      <c r="Q13" s="100"/>
      <c r="R13" s="100"/>
      <c r="S13" s="100"/>
      <c r="T13" s="100"/>
      <c r="U13" s="301"/>
      <c r="V13" s="302"/>
      <c r="W13" s="302"/>
      <c r="X13" s="303"/>
      <c r="Y13" s="98"/>
      <c r="Z13" s="106">
        <f t="shared" si="0"/>
        <v>0</v>
      </c>
      <c r="AA13" s="105">
        <f t="shared" si="1"/>
        <v>0</v>
      </c>
      <c r="AB13" s="105">
        <f t="shared" si="2"/>
        <v>0</v>
      </c>
    </row>
    <row r="14" spans="1:31" x14ac:dyDescent="0.15">
      <c r="A14" s="17"/>
      <c r="B14" s="99">
        <f t="shared" si="3"/>
        <v>7</v>
      </c>
      <c r="C14" s="172"/>
      <c r="D14" s="173"/>
      <c r="E14" s="173"/>
      <c r="F14" s="174"/>
      <c r="G14" s="304"/>
      <c r="H14" s="305"/>
      <c r="I14" s="306"/>
      <c r="J14" s="304"/>
      <c r="K14" s="306"/>
      <c r="L14" s="100"/>
      <c r="M14" s="171"/>
      <c r="N14" s="104"/>
      <c r="O14" s="100"/>
      <c r="P14" s="100"/>
      <c r="Q14" s="100"/>
      <c r="R14" s="100"/>
      <c r="S14" s="100"/>
      <c r="T14" s="100"/>
      <c r="U14" s="301"/>
      <c r="V14" s="302"/>
      <c r="W14" s="302"/>
      <c r="X14" s="303"/>
      <c r="Y14" s="98"/>
      <c r="Z14" s="106">
        <f t="shared" si="0"/>
        <v>0</v>
      </c>
      <c r="AA14" s="105">
        <f t="shared" si="1"/>
        <v>0</v>
      </c>
      <c r="AB14" s="105">
        <f>IF(AA14&gt;0,AA14,IF(J14="date",3,IF(OR(J14="int",J14="real"),4,IF(J14="time",5,IF(OR(J14="datetime",J14="float",J14="datetime2"),8,IF(J14="uniqueidentifier",16,0))))))</f>
        <v>0</v>
      </c>
    </row>
    <row r="15" spans="1:31" x14ac:dyDescent="0.15">
      <c r="A15" s="17"/>
      <c r="B15" s="99">
        <f t="shared" si="3"/>
        <v>8</v>
      </c>
      <c r="C15" s="301"/>
      <c r="D15" s="302"/>
      <c r="E15" s="302"/>
      <c r="F15" s="303"/>
      <c r="G15" s="304"/>
      <c r="H15" s="305"/>
      <c r="I15" s="306"/>
      <c r="J15" s="304"/>
      <c r="K15" s="306"/>
      <c r="L15" s="100"/>
      <c r="M15" s="171"/>
      <c r="N15" s="104"/>
      <c r="O15" s="100"/>
      <c r="P15" s="100"/>
      <c r="Q15" s="100"/>
      <c r="R15" s="100"/>
      <c r="S15" s="100"/>
      <c r="T15" s="100"/>
      <c r="U15" s="301"/>
      <c r="V15" s="302"/>
      <c r="W15" s="302"/>
      <c r="X15" s="303"/>
      <c r="Y15" s="98"/>
      <c r="Z15" s="106">
        <f t="shared" si="0"/>
        <v>0</v>
      </c>
      <c r="AA15" s="105">
        <f t="shared" si="1"/>
        <v>0</v>
      </c>
      <c r="AB15" s="105">
        <f t="shared" si="2"/>
        <v>0</v>
      </c>
    </row>
    <row r="16" spans="1:31" x14ac:dyDescent="0.15">
      <c r="A16" s="101"/>
      <c r="B16" s="99">
        <f t="shared" si="3"/>
        <v>9</v>
      </c>
      <c r="C16" s="301"/>
      <c r="D16" s="302"/>
      <c r="E16" s="302"/>
      <c r="F16" s="303"/>
      <c r="G16" s="304"/>
      <c r="H16" s="305"/>
      <c r="I16" s="306"/>
      <c r="J16" s="304"/>
      <c r="K16" s="306"/>
      <c r="L16" s="100"/>
      <c r="M16" s="171"/>
      <c r="N16" s="104"/>
      <c r="O16" s="100"/>
      <c r="P16" s="100"/>
      <c r="Q16" s="100"/>
      <c r="R16" s="100"/>
      <c r="S16" s="100"/>
      <c r="T16" s="100"/>
      <c r="U16" s="301"/>
      <c r="V16" s="302"/>
      <c r="W16" s="302"/>
      <c r="X16" s="303"/>
      <c r="Y16" s="98"/>
      <c r="Z16" s="106">
        <f t="shared" si="0"/>
        <v>0</v>
      </c>
      <c r="AA16" s="105">
        <f t="shared" si="1"/>
        <v>0</v>
      </c>
      <c r="AB16" s="105">
        <f t="shared" si="2"/>
        <v>0</v>
      </c>
    </row>
    <row r="17" spans="1:28" x14ac:dyDescent="0.15">
      <c r="A17" s="101"/>
      <c r="B17" s="99">
        <f t="shared" si="3"/>
        <v>10</v>
      </c>
      <c r="C17" s="301"/>
      <c r="D17" s="302"/>
      <c r="E17" s="302"/>
      <c r="F17" s="303"/>
      <c r="G17" s="304"/>
      <c r="H17" s="305"/>
      <c r="I17" s="306"/>
      <c r="J17" s="304"/>
      <c r="K17" s="306"/>
      <c r="L17" s="100"/>
      <c r="M17" s="171"/>
      <c r="N17" s="100"/>
      <c r="O17" s="100"/>
      <c r="P17" s="100"/>
      <c r="Q17" s="100"/>
      <c r="R17" s="100"/>
      <c r="S17" s="100"/>
      <c r="T17" s="100"/>
      <c r="U17" s="301"/>
      <c r="V17" s="302"/>
      <c r="W17" s="302"/>
      <c r="X17" s="303"/>
      <c r="Y17" s="98"/>
      <c r="Z17" s="106">
        <f t="shared" si="0"/>
        <v>0</v>
      </c>
      <c r="AA17" s="105">
        <f t="shared" si="1"/>
        <v>0</v>
      </c>
      <c r="AB17" s="105">
        <f t="shared" si="2"/>
        <v>0</v>
      </c>
    </row>
    <row r="18" spans="1:28" x14ac:dyDescent="0.15">
      <c r="A18" s="101"/>
      <c r="B18" s="99">
        <f t="shared" si="3"/>
        <v>11</v>
      </c>
      <c r="C18" s="301"/>
      <c r="D18" s="302"/>
      <c r="E18" s="302"/>
      <c r="F18" s="303"/>
      <c r="G18" s="304"/>
      <c r="H18" s="305"/>
      <c r="I18" s="306"/>
      <c r="J18" s="304"/>
      <c r="K18" s="306"/>
      <c r="L18" s="100"/>
      <c r="M18" s="171"/>
      <c r="N18" s="100"/>
      <c r="O18" s="100"/>
      <c r="P18" s="100"/>
      <c r="Q18" s="100"/>
      <c r="R18" s="100"/>
      <c r="S18" s="100"/>
      <c r="T18" s="100"/>
      <c r="U18" s="301"/>
      <c r="V18" s="302"/>
      <c r="W18" s="302"/>
      <c r="X18" s="303"/>
      <c r="Y18" s="98"/>
      <c r="Z18" s="106">
        <f t="shared" si="0"/>
        <v>0</v>
      </c>
      <c r="AA18" s="105">
        <f t="shared" si="1"/>
        <v>0</v>
      </c>
      <c r="AB18" s="105">
        <f t="shared" si="2"/>
        <v>0</v>
      </c>
    </row>
    <row r="19" spans="1:28" x14ac:dyDescent="0.15">
      <c r="A19" s="101"/>
      <c r="B19" s="99">
        <f t="shared" si="3"/>
        <v>12</v>
      </c>
      <c r="C19" s="301"/>
      <c r="D19" s="302"/>
      <c r="E19" s="302"/>
      <c r="F19" s="303"/>
      <c r="G19" s="304"/>
      <c r="H19" s="305"/>
      <c r="I19" s="306"/>
      <c r="J19" s="304"/>
      <c r="K19" s="306"/>
      <c r="L19" s="100"/>
      <c r="M19" s="171"/>
      <c r="N19" s="100"/>
      <c r="O19" s="100"/>
      <c r="P19" s="100"/>
      <c r="Q19" s="100"/>
      <c r="R19" s="100"/>
      <c r="S19" s="100"/>
      <c r="T19" s="100"/>
      <c r="U19" s="301"/>
      <c r="V19" s="302"/>
      <c r="W19" s="302"/>
      <c r="X19" s="303"/>
      <c r="Y19" s="98"/>
      <c r="Z19" s="106">
        <f t="shared" si="0"/>
        <v>0</v>
      </c>
      <c r="AA19" s="105">
        <f t="shared" si="1"/>
        <v>0</v>
      </c>
      <c r="AB19" s="105">
        <f t="shared" si="2"/>
        <v>0</v>
      </c>
    </row>
    <row r="20" spans="1:28" x14ac:dyDescent="0.15">
      <c r="A20" s="101"/>
      <c r="B20" s="99">
        <f t="shared" si="3"/>
        <v>13</v>
      </c>
      <c r="C20" s="301"/>
      <c r="D20" s="302"/>
      <c r="E20" s="302"/>
      <c r="F20" s="303"/>
      <c r="G20" s="304"/>
      <c r="H20" s="305"/>
      <c r="I20" s="306"/>
      <c r="J20" s="304"/>
      <c r="K20" s="306"/>
      <c r="L20" s="100"/>
      <c r="M20" s="171"/>
      <c r="N20" s="100"/>
      <c r="O20" s="100"/>
      <c r="P20" s="100"/>
      <c r="Q20" s="100"/>
      <c r="R20" s="100"/>
      <c r="S20" s="100"/>
      <c r="T20" s="100"/>
      <c r="U20" s="301"/>
      <c r="V20" s="302"/>
      <c r="W20" s="302"/>
      <c r="X20" s="303"/>
      <c r="Y20" s="98"/>
      <c r="Z20" s="106">
        <f t="shared" si="0"/>
        <v>0</v>
      </c>
      <c r="AA20" s="105">
        <f t="shared" si="1"/>
        <v>0</v>
      </c>
      <c r="AB20" s="105">
        <f t="shared" si="2"/>
        <v>0</v>
      </c>
    </row>
    <row r="21" spans="1:28" x14ac:dyDescent="0.15">
      <c r="A21" s="101"/>
      <c r="B21" s="99">
        <f t="shared" si="3"/>
        <v>14</v>
      </c>
      <c r="C21" s="172"/>
      <c r="D21" s="173"/>
      <c r="E21" s="173"/>
      <c r="F21" s="174"/>
      <c r="G21" s="304"/>
      <c r="H21" s="305"/>
      <c r="I21" s="306"/>
      <c r="J21" s="304"/>
      <c r="K21" s="306"/>
      <c r="L21" s="100"/>
      <c r="M21" s="171"/>
      <c r="N21" s="104"/>
      <c r="O21" s="100"/>
      <c r="P21" s="100"/>
      <c r="Q21" s="100"/>
      <c r="R21" s="100"/>
      <c r="S21" s="100"/>
      <c r="T21" s="100"/>
      <c r="U21" s="301"/>
      <c r="V21" s="302"/>
      <c r="W21" s="302"/>
      <c r="X21" s="303"/>
      <c r="Y21" s="98"/>
      <c r="Z21" s="106">
        <f t="shared" si="0"/>
        <v>0</v>
      </c>
      <c r="AA21" s="105">
        <f t="shared" si="1"/>
        <v>0</v>
      </c>
      <c r="AB21" s="105">
        <f t="shared" si="2"/>
        <v>0</v>
      </c>
    </row>
    <row r="22" spans="1:28" x14ac:dyDescent="0.15">
      <c r="A22" s="101"/>
      <c r="B22" s="99">
        <f t="shared" si="3"/>
        <v>15</v>
      </c>
      <c r="C22" s="301"/>
      <c r="D22" s="302"/>
      <c r="E22" s="302"/>
      <c r="F22" s="303"/>
      <c r="G22" s="304"/>
      <c r="H22" s="305"/>
      <c r="I22" s="306"/>
      <c r="J22" s="304"/>
      <c r="K22" s="306"/>
      <c r="L22" s="100"/>
      <c r="M22" s="171"/>
      <c r="N22" s="100"/>
      <c r="O22" s="100"/>
      <c r="P22" s="100"/>
      <c r="Q22" s="100"/>
      <c r="R22" s="100"/>
      <c r="S22" s="100"/>
      <c r="T22" s="100"/>
      <c r="U22" s="301"/>
      <c r="V22" s="302"/>
      <c r="W22" s="302"/>
      <c r="X22" s="303"/>
      <c r="Y22" s="98"/>
      <c r="Z22" s="106">
        <f t="shared" si="0"/>
        <v>0</v>
      </c>
      <c r="AA22" s="105">
        <f t="shared" si="1"/>
        <v>0</v>
      </c>
      <c r="AB22" s="105">
        <f t="shared" si="2"/>
        <v>0</v>
      </c>
    </row>
    <row r="23" spans="1:28" x14ac:dyDescent="0.15">
      <c r="A23" s="101"/>
      <c r="B23" s="99">
        <f t="shared" si="3"/>
        <v>16</v>
      </c>
      <c r="C23" s="301"/>
      <c r="D23" s="302"/>
      <c r="E23" s="302"/>
      <c r="F23" s="303"/>
      <c r="G23" s="304"/>
      <c r="H23" s="305"/>
      <c r="I23" s="306"/>
      <c r="J23" s="304"/>
      <c r="K23" s="306"/>
      <c r="L23" s="100"/>
      <c r="M23" s="171"/>
      <c r="N23" s="100"/>
      <c r="O23" s="100"/>
      <c r="P23" s="100"/>
      <c r="Q23" s="100"/>
      <c r="R23" s="100"/>
      <c r="S23" s="100"/>
      <c r="T23" s="100"/>
      <c r="U23" s="301"/>
      <c r="V23" s="302"/>
      <c r="W23" s="302"/>
      <c r="X23" s="303"/>
      <c r="Y23" s="98"/>
      <c r="Z23" s="106">
        <f t="shared" si="0"/>
        <v>0</v>
      </c>
      <c r="AA23" s="105">
        <f t="shared" si="1"/>
        <v>0</v>
      </c>
      <c r="AB23" s="105">
        <f t="shared" si="2"/>
        <v>0</v>
      </c>
    </row>
    <row r="24" spans="1:28" x14ac:dyDescent="0.15">
      <c r="A24" s="101"/>
      <c r="B24" s="99">
        <f t="shared" si="3"/>
        <v>17</v>
      </c>
      <c r="C24" s="301"/>
      <c r="D24" s="302"/>
      <c r="E24" s="302"/>
      <c r="F24" s="303"/>
      <c r="G24" s="304"/>
      <c r="H24" s="305"/>
      <c r="I24" s="306"/>
      <c r="J24" s="304"/>
      <c r="K24" s="306"/>
      <c r="L24" s="100"/>
      <c r="M24" s="171"/>
      <c r="N24" s="100"/>
      <c r="O24" s="100"/>
      <c r="P24" s="100"/>
      <c r="Q24" s="100"/>
      <c r="R24" s="100"/>
      <c r="S24" s="100"/>
      <c r="T24" s="100"/>
      <c r="U24" s="301"/>
      <c r="V24" s="302"/>
      <c r="W24" s="302"/>
      <c r="X24" s="303"/>
      <c r="Y24" s="98"/>
      <c r="Z24" s="106">
        <f t="shared" si="0"/>
        <v>0</v>
      </c>
      <c r="AA24" s="105">
        <f t="shared" si="1"/>
        <v>0</v>
      </c>
      <c r="AB24" s="105">
        <f t="shared" si="2"/>
        <v>0</v>
      </c>
    </row>
    <row r="25" spans="1:28" x14ac:dyDescent="0.15">
      <c r="A25" s="101"/>
      <c r="B25" s="99">
        <f t="shared" si="3"/>
        <v>18</v>
      </c>
      <c r="C25" s="301"/>
      <c r="D25" s="302"/>
      <c r="E25" s="302"/>
      <c r="F25" s="303"/>
      <c r="G25" s="304"/>
      <c r="H25" s="305"/>
      <c r="I25" s="306"/>
      <c r="J25" s="304"/>
      <c r="K25" s="306"/>
      <c r="L25" s="100"/>
      <c r="M25" s="171"/>
      <c r="N25" s="100"/>
      <c r="O25" s="100"/>
      <c r="P25" s="100"/>
      <c r="Q25" s="100"/>
      <c r="R25" s="100"/>
      <c r="S25" s="100"/>
      <c r="T25" s="100"/>
      <c r="U25" s="301"/>
      <c r="V25" s="302"/>
      <c r="W25" s="302"/>
      <c r="X25" s="303"/>
      <c r="Y25" s="98"/>
      <c r="Z25" s="106">
        <f t="shared" si="0"/>
        <v>0</v>
      </c>
      <c r="AA25" s="105">
        <f t="shared" si="1"/>
        <v>0</v>
      </c>
      <c r="AB25" s="105">
        <f t="shared" si="2"/>
        <v>0</v>
      </c>
    </row>
    <row r="26" spans="1:28" x14ac:dyDescent="0.15">
      <c r="A26" s="101"/>
      <c r="B26" s="99">
        <f t="shared" si="3"/>
        <v>19</v>
      </c>
      <c r="C26" s="172"/>
      <c r="D26" s="173"/>
      <c r="E26" s="173"/>
      <c r="F26" s="174"/>
      <c r="G26" s="304"/>
      <c r="H26" s="305"/>
      <c r="I26" s="306"/>
      <c r="J26" s="304"/>
      <c r="K26" s="306"/>
      <c r="L26" s="100"/>
      <c r="M26" s="171"/>
      <c r="N26" s="104"/>
      <c r="O26" s="100"/>
      <c r="P26" s="100"/>
      <c r="Q26" s="100"/>
      <c r="R26" s="100"/>
      <c r="S26" s="100"/>
      <c r="T26" s="100"/>
      <c r="U26" s="301"/>
      <c r="V26" s="302"/>
      <c r="W26" s="302"/>
      <c r="X26" s="303"/>
      <c r="Y26" s="98"/>
      <c r="Z26" s="106">
        <f t="shared" si="0"/>
        <v>0</v>
      </c>
      <c r="AA26" s="105">
        <f t="shared" si="1"/>
        <v>0</v>
      </c>
      <c r="AB26" s="105">
        <f t="shared" si="2"/>
        <v>0</v>
      </c>
    </row>
    <row r="27" spans="1:28" x14ac:dyDescent="0.15">
      <c r="A27" s="101"/>
      <c r="B27" s="99">
        <f t="shared" si="3"/>
        <v>20</v>
      </c>
      <c r="C27" s="301"/>
      <c r="D27" s="302"/>
      <c r="E27" s="302"/>
      <c r="F27" s="303"/>
      <c r="G27" s="304"/>
      <c r="H27" s="305"/>
      <c r="I27" s="306"/>
      <c r="J27" s="304"/>
      <c r="K27" s="306"/>
      <c r="L27" s="100"/>
      <c r="M27" s="171"/>
      <c r="N27" s="104"/>
      <c r="O27" s="100"/>
      <c r="P27" s="100"/>
      <c r="Q27" s="100"/>
      <c r="R27" s="100"/>
      <c r="S27" s="100"/>
      <c r="T27" s="100"/>
      <c r="U27" s="301"/>
      <c r="V27" s="302"/>
      <c r="W27" s="302"/>
      <c r="X27" s="303"/>
      <c r="Y27" s="98"/>
      <c r="Z27" s="106">
        <f t="shared" si="0"/>
        <v>0</v>
      </c>
      <c r="AA27" s="105">
        <f t="shared" si="1"/>
        <v>0</v>
      </c>
      <c r="AB27" s="105">
        <f t="shared" si="2"/>
        <v>0</v>
      </c>
    </row>
    <row r="28" spans="1:28" x14ac:dyDescent="0.15">
      <c r="A28" s="101"/>
      <c r="B28" s="99">
        <f t="shared" si="3"/>
        <v>21</v>
      </c>
      <c r="C28" s="301"/>
      <c r="D28" s="302"/>
      <c r="E28" s="302"/>
      <c r="F28" s="303"/>
      <c r="G28" s="304"/>
      <c r="H28" s="305"/>
      <c r="I28" s="306"/>
      <c r="J28" s="304"/>
      <c r="K28" s="306"/>
      <c r="L28" s="100"/>
      <c r="M28" s="171"/>
      <c r="N28" s="104"/>
      <c r="O28" s="100"/>
      <c r="P28" s="100"/>
      <c r="Q28" s="100"/>
      <c r="R28" s="100"/>
      <c r="S28" s="100"/>
      <c r="T28" s="100"/>
      <c r="U28" s="301"/>
      <c r="V28" s="302"/>
      <c r="W28" s="302"/>
      <c r="X28" s="303"/>
      <c r="Y28" s="98"/>
      <c r="Z28" s="106">
        <f t="shared" si="0"/>
        <v>0</v>
      </c>
      <c r="AA28" s="105">
        <f t="shared" si="1"/>
        <v>0</v>
      </c>
      <c r="AB28" s="105">
        <f t="shared" si="2"/>
        <v>0</v>
      </c>
    </row>
    <row r="29" spans="1:28" x14ac:dyDescent="0.15">
      <c r="A29" s="101"/>
      <c r="B29" s="99">
        <f t="shared" si="3"/>
        <v>22</v>
      </c>
      <c r="C29" s="301"/>
      <c r="D29" s="302"/>
      <c r="E29" s="302"/>
      <c r="F29" s="303"/>
      <c r="G29" s="304"/>
      <c r="H29" s="305"/>
      <c r="I29" s="306"/>
      <c r="J29" s="304"/>
      <c r="K29" s="306"/>
      <c r="L29" s="100"/>
      <c r="M29" s="171"/>
      <c r="N29" s="100"/>
      <c r="O29" s="100"/>
      <c r="P29" s="100"/>
      <c r="Q29" s="100"/>
      <c r="R29" s="100"/>
      <c r="S29" s="100"/>
      <c r="T29" s="100"/>
      <c r="U29" s="301"/>
      <c r="V29" s="302"/>
      <c r="W29" s="302"/>
      <c r="X29" s="303"/>
      <c r="Y29" s="98"/>
      <c r="Z29" s="106">
        <f t="shared" si="0"/>
        <v>0</v>
      </c>
      <c r="AA29" s="105">
        <f t="shared" si="1"/>
        <v>0</v>
      </c>
      <c r="AB29" s="105">
        <f t="shared" si="2"/>
        <v>0</v>
      </c>
    </row>
    <row r="30" spans="1:28" x14ac:dyDescent="0.15">
      <c r="A30" s="101"/>
      <c r="B30" s="99">
        <f t="shared" si="3"/>
        <v>23</v>
      </c>
      <c r="C30" s="301"/>
      <c r="D30" s="302"/>
      <c r="E30" s="302"/>
      <c r="F30" s="303"/>
      <c r="G30" s="304"/>
      <c r="H30" s="305"/>
      <c r="I30" s="306"/>
      <c r="J30" s="304"/>
      <c r="K30" s="306"/>
      <c r="L30" s="100"/>
      <c r="M30" s="171"/>
      <c r="N30" s="100"/>
      <c r="O30" s="100"/>
      <c r="P30" s="100"/>
      <c r="Q30" s="100"/>
      <c r="R30" s="100"/>
      <c r="S30" s="100"/>
      <c r="T30" s="100"/>
      <c r="U30" s="301"/>
      <c r="V30" s="302"/>
      <c r="W30" s="302"/>
      <c r="X30" s="303"/>
      <c r="Y30" s="98"/>
      <c r="Z30" s="106">
        <f t="shared" si="0"/>
        <v>0</v>
      </c>
      <c r="AA30" s="105">
        <f t="shared" si="1"/>
        <v>0</v>
      </c>
      <c r="AB30" s="105">
        <f t="shared" si="2"/>
        <v>0</v>
      </c>
    </row>
    <row r="31" spans="1:28" x14ac:dyDescent="0.15">
      <c r="A31" s="101"/>
      <c r="B31" s="99">
        <f t="shared" si="3"/>
        <v>24</v>
      </c>
      <c r="C31" s="301"/>
      <c r="D31" s="302"/>
      <c r="E31" s="302"/>
      <c r="F31" s="303"/>
      <c r="G31" s="304"/>
      <c r="H31" s="305"/>
      <c r="I31" s="306"/>
      <c r="J31" s="304"/>
      <c r="K31" s="306"/>
      <c r="L31" s="100"/>
      <c r="M31" s="100"/>
      <c r="N31" s="100"/>
      <c r="O31" s="100"/>
      <c r="P31" s="100"/>
      <c r="Q31" s="100"/>
      <c r="R31" s="100"/>
      <c r="S31" s="100"/>
      <c r="T31" s="100"/>
      <c r="U31" s="301"/>
      <c r="V31" s="302"/>
      <c r="W31" s="302"/>
      <c r="X31" s="303"/>
      <c r="Y31" s="98"/>
      <c r="Z31" s="106">
        <f t="shared" si="0"/>
        <v>0</v>
      </c>
      <c r="AA31" s="105">
        <f t="shared" si="1"/>
        <v>0</v>
      </c>
      <c r="AB31" s="105">
        <f t="shared" si="2"/>
        <v>0</v>
      </c>
    </row>
    <row r="32" spans="1:28" x14ac:dyDescent="0.15">
      <c r="A32" s="101"/>
      <c r="B32" s="99">
        <f t="shared" si="3"/>
        <v>25</v>
      </c>
      <c r="C32" s="301"/>
      <c r="D32" s="302"/>
      <c r="E32" s="302"/>
      <c r="F32" s="303"/>
      <c r="G32" s="304"/>
      <c r="H32" s="305"/>
      <c r="I32" s="306"/>
      <c r="J32" s="304"/>
      <c r="K32" s="306"/>
      <c r="L32" s="100"/>
      <c r="M32" s="100"/>
      <c r="N32" s="100"/>
      <c r="O32" s="100"/>
      <c r="P32" s="100"/>
      <c r="Q32" s="100"/>
      <c r="R32" s="100"/>
      <c r="S32" s="100"/>
      <c r="T32" s="100"/>
      <c r="U32" s="301"/>
      <c r="V32" s="302"/>
      <c r="W32" s="302"/>
      <c r="X32" s="303"/>
      <c r="Y32" s="98"/>
      <c r="Z32" s="106">
        <f t="shared" si="0"/>
        <v>0</v>
      </c>
      <c r="AA32" s="105">
        <f t="shared" si="1"/>
        <v>0</v>
      </c>
      <c r="AB32" s="105">
        <f t="shared" si="2"/>
        <v>0</v>
      </c>
    </row>
    <row r="33" spans="1:28" x14ac:dyDescent="0.15">
      <c r="A33" s="101"/>
      <c r="B33" s="99">
        <f t="shared" si="3"/>
        <v>26</v>
      </c>
      <c r="C33" s="301"/>
      <c r="D33" s="302"/>
      <c r="E33" s="302"/>
      <c r="F33" s="303"/>
      <c r="G33" s="304"/>
      <c r="H33" s="305"/>
      <c r="I33" s="306"/>
      <c r="J33" s="304"/>
      <c r="K33" s="306"/>
      <c r="L33" s="100"/>
      <c r="M33" s="100"/>
      <c r="N33" s="100"/>
      <c r="O33" s="100"/>
      <c r="P33" s="100"/>
      <c r="Q33" s="100"/>
      <c r="R33" s="100"/>
      <c r="S33" s="100"/>
      <c r="T33" s="100"/>
      <c r="U33" s="301"/>
      <c r="V33" s="302"/>
      <c r="W33" s="302"/>
      <c r="X33" s="303"/>
      <c r="Y33" s="98"/>
      <c r="Z33" s="106">
        <f t="shared" si="0"/>
        <v>0</v>
      </c>
      <c r="AA33" s="105">
        <f t="shared" si="1"/>
        <v>0</v>
      </c>
      <c r="AB33" s="105">
        <f t="shared" si="2"/>
        <v>0</v>
      </c>
    </row>
    <row r="34" spans="1:28" x14ac:dyDescent="0.15">
      <c r="A34" s="101"/>
      <c r="B34" s="99">
        <f t="shared" si="3"/>
        <v>27</v>
      </c>
      <c r="C34" s="301"/>
      <c r="D34" s="302"/>
      <c r="E34" s="302"/>
      <c r="F34" s="303"/>
      <c r="G34" s="304"/>
      <c r="H34" s="305"/>
      <c r="I34" s="306"/>
      <c r="J34" s="304"/>
      <c r="K34" s="306"/>
      <c r="L34" s="100"/>
      <c r="M34" s="100"/>
      <c r="N34" s="100"/>
      <c r="O34" s="100"/>
      <c r="P34" s="100"/>
      <c r="Q34" s="100"/>
      <c r="R34" s="100"/>
      <c r="S34" s="100"/>
      <c r="T34" s="100"/>
      <c r="U34" s="301"/>
      <c r="V34" s="302"/>
      <c r="W34" s="302"/>
      <c r="X34" s="303"/>
      <c r="Y34" s="98"/>
      <c r="Z34" s="106">
        <f t="shared" si="0"/>
        <v>0</v>
      </c>
      <c r="AA34" s="105">
        <f t="shared" si="1"/>
        <v>0</v>
      </c>
      <c r="AB34" s="105">
        <f t="shared" si="2"/>
        <v>0</v>
      </c>
    </row>
    <row r="35" spans="1:28" x14ac:dyDescent="0.15">
      <c r="A35" s="101"/>
      <c r="B35" s="99">
        <f t="shared" si="3"/>
        <v>28</v>
      </c>
      <c r="C35" s="301"/>
      <c r="D35" s="302"/>
      <c r="E35" s="302"/>
      <c r="F35" s="303"/>
      <c r="G35" s="304"/>
      <c r="H35" s="305"/>
      <c r="I35" s="306"/>
      <c r="J35" s="304"/>
      <c r="K35" s="306"/>
      <c r="L35" s="100"/>
      <c r="M35" s="100"/>
      <c r="N35" s="100"/>
      <c r="O35" s="100"/>
      <c r="P35" s="100"/>
      <c r="Q35" s="100"/>
      <c r="R35" s="100"/>
      <c r="S35" s="100"/>
      <c r="T35" s="100"/>
      <c r="U35" s="301"/>
      <c r="V35" s="302"/>
      <c r="W35" s="302"/>
      <c r="X35" s="303"/>
      <c r="Y35" s="98"/>
      <c r="Z35" s="106">
        <f t="shared" si="0"/>
        <v>0</v>
      </c>
      <c r="AA35" s="105">
        <f t="shared" si="1"/>
        <v>0</v>
      </c>
      <c r="AB35" s="105">
        <f t="shared" si="2"/>
        <v>0</v>
      </c>
    </row>
    <row r="36" spans="1:28" x14ac:dyDescent="0.15">
      <c r="A36" s="101"/>
      <c r="B36" s="99">
        <f t="shared" si="3"/>
        <v>29</v>
      </c>
      <c r="C36" s="301"/>
      <c r="D36" s="302"/>
      <c r="E36" s="302"/>
      <c r="F36" s="303"/>
      <c r="G36" s="304"/>
      <c r="H36" s="305"/>
      <c r="I36" s="306"/>
      <c r="J36" s="304"/>
      <c r="K36" s="306"/>
      <c r="L36" s="100"/>
      <c r="M36" s="100"/>
      <c r="N36" s="100"/>
      <c r="O36" s="100"/>
      <c r="P36" s="100"/>
      <c r="Q36" s="100"/>
      <c r="R36" s="100"/>
      <c r="S36" s="100"/>
      <c r="T36" s="100"/>
      <c r="U36" s="301"/>
      <c r="V36" s="302"/>
      <c r="W36" s="302"/>
      <c r="X36" s="303"/>
      <c r="Y36" s="98"/>
      <c r="Z36" s="106">
        <f t="shared" si="0"/>
        <v>0</v>
      </c>
      <c r="AA36" s="105">
        <f t="shared" si="1"/>
        <v>0</v>
      </c>
      <c r="AB36" s="105">
        <f t="shared" si="2"/>
        <v>0</v>
      </c>
    </row>
    <row r="37" spans="1:28" x14ac:dyDescent="0.15">
      <c r="A37" s="101"/>
      <c r="B37" s="99">
        <f t="shared" si="3"/>
        <v>30</v>
      </c>
      <c r="C37" s="301"/>
      <c r="D37" s="302"/>
      <c r="E37" s="302"/>
      <c r="F37" s="303"/>
      <c r="G37" s="304"/>
      <c r="H37" s="305"/>
      <c r="I37" s="306"/>
      <c r="J37" s="304"/>
      <c r="K37" s="306"/>
      <c r="L37" s="100"/>
      <c r="M37" s="100"/>
      <c r="N37" s="100"/>
      <c r="O37" s="100"/>
      <c r="P37" s="100"/>
      <c r="Q37" s="100"/>
      <c r="R37" s="100"/>
      <c r="S37" s="100"/>
      <c r="T37" s="100"/>
      <c r="U37" s="301"/>
      <c r="V37" s="302"/>
      <c r="W37" s="302"/>
      <c r="X37" s="303"/>
      <c r="Y37" s="98"/>
      <c r="Z37" s="106">
        <f t="shared" si="0"/>
        <v>0</v>
      </c>
      <c r="AA37" s="105">
        <f t="shared" si="1"/>
        <v>0</v>
      </c>
      <c r="AB37" s="105">
        <f t="shared" si="2"/>
        <v>0</v>
      </c>
    </row>
    <row r="38" spans="1:28" x14ac:dyDescent="0.15">
      <c r="A38" s="101"/>
      <c r="B38" s="298" t="s">
        <v>122</v>
      </c>
      <c r="C38" s="299"/>
      <c r="D38" s="299"/>
      <c r="E38" s="299"/>
      <c r="F38" s="299"/>
      <c r="G38" s="299"/>
      <c r="H38" s="299"/>
      <c r="I38" s="299"/>
      <c r="J38" s="299"/>
      <c r="K38" s="299"/>
      <c r="L38" s="299"/>
      <c r="M38" s="299"/>
      <c r="N38" s="299"/>
      <c r="O38" s="299"/>
      <c r="P38" s="299"/>
      <c r="Q38" s="299"/>
      <c r="R38" s="299"/>
      <c r="S38" s="299"/>
      <c r="T38" s="299"/>
      <c r="U38" s="299"/>
      <c r="V38" s="299"/>
      <c r="W38" s="299"/>
      <c r="X38" s="300"/>
      <c r="Y38" s="98"/>
      <c r="Z38" s="92"/>
    </row>
    <row r="39" spans="1:28" x14ac:dyDescent="0.15">
      <c r="A39" s="101"/>
      <c r="B39" s="101" t="s">
        <v>259</v>
      </c>
      <c r="C39" s="92"/>
      <c r="D39" s="92"/>
      <c r="E39" s="92"/>
      <c r="F39" s="92"/>
      <c r="G39" s="92"/>
      <c r="H39" s="92"/>
      <c r="I39" s="92"/>
      <c r="J39" s="92"/>
      <c r="K39" s="92"/>
      <c r="L39" s="92"/>
      <c r="M39" s="92"/>
      <c r="N39" s="92"/>
      <c r="O39" s="92"/>
      <c r="P39" s="92"/>
      <c r="Q39" s="92"/>
      <c r="R39" s="92"/>
      <c r="S39" s="92"/>
      <c r="T39" s="92"/>
      <c r="U39" s="92"/>
      <c r="V39" s="92"/>
      <c r="W39" s="92"/>
      <c r="X39" s="98"/>
      <c r="Y39" s="98"/>
      <c r="Z39" s="92"/>
    </row>
    <row r="40" spans="1:28" x14ac:dyDescent="0.15">
      <c r="A40" s="101"/>
      <c r="B40" s="101"/>
      <c r="C40" s="92"/>
      <c r="D40" s="92"/>
      <c r="E40" s="92"/>
      <c r="F40" s="92"/>
      <c r="G40" s="92"/>
      <c r="H40" s="92"/>
      <c r="I40" s="92"/>
      <c r="J40" s="92"/>
      <c r="K40" s="92"/>
      <c r="L40" s="92"/>
      <c r="M40" s="92"/>
      <c r="N40" s="92"/>
      <c r="O40" s="92"/>
      <c r="P40" s="92"/>
      <c r="Q40" s="92"/>
      <c r="R40" s="92"/>
      <c r="S40" s="92"/>
      <c r="T40" s="92"/>
      <c r="U40" s="92"/>
      <c r="V40" s="92"/>
      <c r="W40" s="92"/>
      <c r="X40" s="98"/>
      <c r="Y40" s="98"/>
      <c r="Z40" s="92"/>
    </row>
    <row r="41" spans="1:28" x14ac:dyDescent="0.15">
      <c r="A41" s="101"/>
      <c r="B41" s="101"/>
      <c r="C41" s="92"/>
      <c r="D41" s="92"/>
      <c r="E41" s="92"/>
      <c r="F41" s="92"/>
      <c r="G41" s="92"/>
      <c r="H41" s="92"/>
      <c r="I41" s="92"/>
      <c r="J41" s="92"/>
      <c r="K41" s="92"/>
      <c r="L41" s="92"/>
      <c r="M41" s="92"/>
      <c r="N41" s="92"/>
      <c r="O41" s="92"/>
      <c r="P41" s="92"/>
      <c r="Q41" s="92"/>
      <c r="R41" s="92"/>
      <c r="S41" s="92"/>
      <c r="T41" s="92"/>
      <c r="U41" s="92"/>
      <c r="V41" s="92"/>
      <c r="W41" s="92"/>
      <c r="X41" s="98"/>
      <c r="Y41" s="98"/>
      <c r="Z41" s="92"/>
    </row>
    <row r="42" spans="1:28" x14ac:dyDescent="0.15">
      <c r="A42" s="101"/>
      <c r="B42" s="102"/>
      <c r="C42" s="93"/>
      <c r="D42" s="93"/>
      <c r="E42" s="93"/>
      <c r="F42" s="93"/>
      <c r="G42" s="93"/>
      <c r="H42" s="93"/>
      <c r="I42" s="93"/>
      <c r="J42" s="93"/>
      <c r="K42" s="93"/>
      <c r="L42" s="93"/>
      <c r="M42" s="93"/>
      <c r="N42" s="93"/>
      <c r="O42" s="93"/>
      <c r="P42" s="93"/>
      <c r="Q42" s="93"/>
      <c r="R42" s="93"/>
      <c r="S42" s="93"/>
      <c r="T42" s="93"/>
      <c r="U42" s="93"/>
      <c r="V42" s="93"/>
      <c r="W42" s="93"/>
      <c r="X42" s="103"/>
      <c r="Y42" s="98"/>
      <c r="Z42" s="92"/>
    </row>
    <row r="43" spans="1:28" x14ac:dyDescent="0.15">
      <c r="A43" s="102"/>
      <c r="B43" s="93"/>
      <c r="C43" s="93"/>
      <c r="D43" s="93"/>
      <c r="E43" s="93"/>
      <c r="F43" s="93"/>
      <c r="G43" s="93"/>
      <c r="H43" s="93"/>
      <c r="I43" s="93"/>
      <c r="J43" s="93"/>
      <c r="K43" s="93"/>
      <c r="L43" s="93"/>
      <c r="M43" s="93"/>
      <c r="N43" s="93"/>
      <c r="O43" s="93"/>
      <c r="P43" s="93"/>
      <c r="Q43" s="93"/>
      <c r="R43" s="93"/>
      <c r="S43" s="93"/>
      <c r="T43" s="93"/>
      <c r="U43" s="93"/>
      <c r="V43" s="93"/>
      <c r="W43" s="93"/>
      <c r="X43" s="93"/>
      <c r="Y43" s="103"/>
      <c r="Z43" s="92"/>
    </row>
  </sheetData>
  <mergeCells count="135">
    <mergeCell ref="B38:X38"/>
    <mergeCell ref="C36:F36"/>
    <mergeCell ref="G36:I36"/>
    <mergeCell ref="J36:K36"/>
    <mergeCell ref="U36:X36"/>
    <mergeCell ref="C37:F37"/>
    <mergeCell ref="G37:I37"/>
    <mergeCell ref="J37:K37"/>
    <mergeCell ref="U37:X37"/>
    <mergeCell ref="C34:F34"/>
    <mergeCell ref="G34:I34"/>
    <mergeCell ref="J34:K34"/>
    <mergeCell ref="U34:X34"/>
    <mergeCell ref="C35:F35"/>
    <mergeCell ref="G35:I35"/>
    <mergeCell ref="J35:K35"/>
    <mergeCell ref="U35:X35"/>
    <mergeCell ref="C32:F32"/>
    <mergeCell ref="G32:I32"/>
    <mergeCell ref="J32:K32"/>
    <mergeCell ref="U32:X32"/>
    <mergeCell ref="C33:F33"/>
    <mergeCell ref="G33:I33"/>
    <mergeCell ref="J33:K33"/>
    <mergeCell ref="U33:X33"/>
    <mergeCell ref="C30:F30"/>
    <mergeCell ref="G30:I30"/>
    <mergeCell ref="J30:K30"/>
    <mergeCell ref="U30:X30"/>
    <mergeCell ref="C31:F31"/>
    <mergeCell ref="G31:I31"/>
    <mergeCell ref="J31:K31"/>
    <mergeCell ref="U31:X31"/>
    <mergeCell ref="C28:F28"/>
    <mergeCell ref="G28:I28"/>
    <mergeCell ref="J28:K28"/>
    <mergeCell ref="U28:X28"/>
    <mergeCell ref="C29:F29"/>
    <mergeCell ref="G29:I29"/>
    <mergeCell ref="J29:K29"/>
    <mergeCell ref="U29:X29"/>
    <mergeCell ref="G26:I26"/>
    <mergeCell ref="J26:K26"/>
    <mergeCell ref="U26:X26"/>
    <mergeCell ref="C27:F27"/>
    <mergeCell ref="G27:I27"/>
    <mergeCell ref="J27:K27"/>
    <mergeCell ref="U27:X27"/>
    <mergeCell ref="C24:F24"/>
    <mergeCell ref="G24:I24"/>
    <mergeCell ref="J24:K24"/>
    <mergeCell ref="U24:X24"/>
    <mergeCell ref="C25:F25"/>
    <mergeCell ref="G25:I25"/>
    <mergeCell ref="J25:K25"/>
    <mergeCell ref="U25:X25"/>
    <mergeCell ref="C22:F22"/>
    <mergeCell ref="G22:I22"/>
    <mergeCell ref="J22:K22"/>
    <mergeCell ref="U22:X22"/>
    <mergeCell ref="C23:F23"/>
    <mergeCell ref="G23:I23"/>
    <mergeCell ref="J23:K23"/>
    <mergeCell ref="U23:X23"/>
    <mergeCell ref="C20:F20"/>
    <mergeCell ref="G20:I20"/>
    <mergeCell ref="J20:K20"/>
    <mergeCell ref="U20:X20"/>
    <mergeCell ref="G21:I21"/>
    <mergeCell ref="J21:K21"/>
    <mergeCell ref="U21:X21"/>
    <mergeCell ref="C18:F18"/>
    <mergeCell ref="G18:I18"/>
    <mergeCell ref="J18:K18"/>
    <mergeCell ref="U18:X18"/>
    <mergeCell ref="C19:F19"/>
    <mergeCell ref="G19:I19"/>
    <mergeCell ref="J19:K19"/>
    <mergeCell ref="U19:X19"/>
    <mergeCell ref="C16:F16"/>
    <mergeCell ref="G16:I16"/>
    <mergeCell ref="J16:K16"/>
    <mergeCell ref="U16:X16"/>
    <mergeCell ref="C17:F17"/>
    <mergeCell ref="G17:I17"/>
    <mergeCell ref="J17:K17"/>
    <mergeCell ref="U17:X17"/>
    <mergeCell ref="G14:I14"/>
    <mergeCell ref="J14:K14"/>
    <mergeCell ref="U14:X14"/>
    <mergeCell ref="C15:F15"/>
    <mergeCell ref="G15:I15"/>
    <mergeCell ref="J15:K15"/>
    <mergeCell ref="U15:X15"/>
    <mergeCell ref="C12:F12"/>
    <mergeCell ref="G12:I12"/>
    <mergeCell ref="J12:K12"/>
    <mergeCell ref="U12:X12"/>
    <mergeCell ref="C13:F13"/>
    <mergeCell ref="G13:I13"/>
    <mergeCell ref="J13:K13"/>
    <mergeCell ref="U13:X13"/>
    <mergeCell ref="C10:F10"/>
    <mergeCell ref="G10:I10"/>
    <mergeCell ref="J10:K10"/>
    <mergeCell ref="U10:X10"/>
    <mergeCell ref="C11:F11"/>
    <mergeCell ref="G11:I11"/>
    <mergeCell ref="J11:K11"/>
    <mergeCell ref="U11:X11"/>
    <mergeCell ref="C8:F8"/>
    <mergeCell ref="G8:I8"/>
    <mergeCell ref="J8:K8"/>
    <mergeCell ref="U8:X8"/>
    <mergeCell ref="C9:F9"/>
    <mergeCell ref="G9:I9"/>
    <mergeCell ref="J9:K9"/>
    <mergeCell ref="U9:X9"/>
    <mergeCell ref="W2:Y3"/>
    <mergeCell ref="A3:B3"/>
    <mergeCell ref="G3:I3"/>
    <mergeCell ref="C7:F7"/>
    <mergeCell ref="G7:I7"/>
    <mergeCell ref="J7:K7"/>
    <mergeCell ref="U7:X7"/>
    <mergeCell ref="A1:F2"/>
    <mergeCell ref="G1:I1"/>
    <mergeCell ref="P1:Q1"/>
    <mergeCell ref="R1:T1"/>
    <mergeCell ref="U1:V1"/>
    <mergeCell ref="W1:Y1"/>
    <mergeCell ref="G2:I2"/>
    <mergeCell ref="P2:Q3"/>
    <mergeCell ref="R2:T3"/>
    <mergeCell ref="U2:V3"/>
  </mergeCells>
  <phoneticPr fontId="1"/>
  <conditionalFormatting sqref="J8:K8">
    <cfRule type="expression" dxfId="323" priority="73">
      <formula>ISERROR(AB8)</formula>
    </cfRule>
    <cfRule type="expression" dxfId="322" priority="74">
      <formula>ISBLANK(AB8)</formula>
    </cfRule>
    <cfRule type="expression" dxfId="321" priority="75">
      <formula>AND(J8&lt;&gt;"",AB8&lt;=0)</formula>
    </cfRule>
  </conditionalFormatting>
  <conditionalFormatting sqref="J31:K37">
    <cfRule type="expression" dxfId="320" priority="76">
      <formula>ISERROR(AB31)</formula>
    </cfRule>
    <cfRule type="expression" dxfId="319" priority="77">
      <formula>ISBLANK(AB31)</formula>
    </cfRule>
    <cfRule type="expression" dxfId="318" priority="78">
      <formula>AND(J31&lt;&gt;"",AB31&lt;=0)</formula>
    </cfRule>
  </conditionalFormatting>
  <conditionalFormatting sqref="J25:K25">
    <cfRule type="expression" dxfId="317" priority="52">
      <formula>ISERROR(AB25)</formula>
    </cfRule>
    <cfRule type="expression" dxfId="316" priority="53">
      <formula>ISBLANK(AB25)</formula>
    </cfRule>
    <cfRule type="expression" dxfId="315" priority="54">
      <formula>AND(J25&lt;&gt;"",AB25&lt;=0)</formula>
    </cfRule>
  </conditionalFormatting>
  <conditionalFormatting sqref="J19:K19">
    <cfRule type="expression" dxfId="314" priority="70">
      <formula>ISERROR(AB19)</formula>
    </cfRule>
    <cfRule type="expression" dxfId="313" priority="71">
      <formula>ISBLANK(AB19)</formula>
    </cfRule>
    <cfRule type="expression" dxfId="312" priority="72">
      <formula>AND(J19&lt;&gt;"",AB19&lt;=0)</formula>
    </cfRule>
  </conditionalFormatting>
  <conditionalFormatting sqref="J20:K20">
    <cfRule type="expression" dxfId="311" priority="67">
      <formula>ISERROR(AB20)</formula>
    </cfRule>
    <cfRule type="expression" dxfId="310" priority="68">
      <formula>ISBLANK(AB20)</formula>
    </cfRule>
    <cfRule type="expression" dxfId="309" priority="69">
      <formula>AND(J20&lt;&gt;"",AB20&lt;=0)</formula>
    </cfRule>
  </conditionalFormatting>
  <conditionalFormatting sqref="J21:K21">
    <cfRule type="expression" dxfId="308" priority="64">
      <formula>ISERROR(AB21)</formula>
    </cfRule>
    <cfRule type="expression" dxfId="307" priority="65">
      <formula>ISBLANK(AB21)</formula>
    </cfRule>
    <cfRule type="expression" dxfId="306" priority="66">
      <formula>AND(J21&lt;&gt;"",AB21&lt;=0)</formula>
    </cfRule>
  </conditionalFormatting>
  <conditionalFormatting sqref="J30:K30">
    <cfRule type="expression" dxfId="305" priority="37">
      <formula>ISERROR(AB30)</formula>
    </cfRule>
    <cfRule type="expression" dxfId="304" priority="38">
      <formula>ISBLANK(AB30)</formula>
    </cfRule>
    <cfRule type="expression" dxfId="303" priority="39">
      <formula>AND(J30&lt;&gt;"",AB30&lt;=0)</formula>
    </cfRule>
  </conditionalFormatting>
  <conditionalFormatting sqref="J18:K18">
    <cfRule type="expression" dxfId="302" priority="7">
      <formula>ISERROR(AB18)</formula>
    </cfRule>
    <cfRule type="expression" dxfId="301" priority="8">
      <formula>ISBLANK(AB18)</formula>
    </cfRule>
    <cfRule type="expression" dxfId="300" priority="9">
      <formula>AND(J18&lt;&gt;"",AB18&lt;=0)</formula>
    </cfRule>
  </conditionalFormatting>
  <conditionalFormatting sqref="J12:K12">
    <cfRule type="expression" dxfId="299" priority="31">
      <formula>ISERROR(AB12)</formula>
    </cfRule>
    <cfRule type="expression" dxfId="298" priority="32">
      <formula>ISBLANK(AB12)</formula>
    </cfRule>
    <cfRule type="expression" dxfId="297" priority="33">
      <formula>AND(J12&lt;&gt;"",AB12&lt;=0)</formula>
    </cfRule>
  </conditionalFormatting>
  <conditionalFormatting sqref="J11:K11">
    <cfRule type="expression" dxfId="296" priority="25">
      <formula>ISERROR(AB11)</formula>
    </cfRule>
    <cfRule type="expression" dxfId="295" priority="26">
      <formula>ISBLANK(AB11)</formula>
    </cfRule>
    <cfRule type="expression" dxfId="294" priority="27">
      <formula>AND(J11&lt;&gt;"",AB11&lt;=0)</formula>
    </cfRule>
  </conditionalFormatting>
  <conditionalFormatting sqref="J29:K29">
    <cfRule type="expression" dxfId="293" priority="40">
      <formula>ISERROR(AB29)</formula>
    </cfRule>
    <cfRule type="expression" dxfId="292" priority="41">
      <formula>ISBLANK(AB29)</formula>
    </cfRule>
    <cfRule type="expression" dxfId="291" priority="42">
      <formula>AND(J29&lt;&gt;"",AB29&lt;=0)</formula>
    </cfRule>
  </conditionalFormatting>
  <conditionalFormatting sqref="J13:K13">
    <cfRule type="expression" dxfId="290" priority="22">
      <formula>ISERROR(AB13)</formula>
    </cfRule>
    <cfRule type="expression" dxfId="289" priority="23">
      <formula>ISBLANK(AB13)</formula>
    </cfRule>
    <cfRule type="expression" dxfId="288" priority="24">
      <formula>AND(J13&lt;&gt;"",AB13&lt;=0)</formula>
    </cfRule>
  </conditionalFormatting>
  <conditionalFormatting sqref="J26:K26">
    <cfRule type="expression" dxfId="287" priority="49">
      <formula>ISERROR(AB26)</formula>
    </cfRule>
    <cfRule type="expression" dxfId="286" priority="50">
      <formula>ISBLANK(AB26)</formula>
    </cfRule>
    <cfRule type="expression" dxfId="285" priority="51">
      <formula>AND(J26&lt;&gt;"",AB26&lt;=0)</formula>
    </cfRule>
  </conditionalFormatting>
  <conditionalFormatting sqref="J27:K27">
    <cfRule type="expression" dxfId="284" priority="46">
      <formula>ISERROR(AB27)</formula>
    </cfRule>
    <cfRule type="expression" dxfId="283" priority="47">
      <formula>ISBLANK(AB27)</formula>
    </cfRule>
    <cfRule type="expression" dxfId="282" priority="48">
      <formula>AND(J27&lt;&gt;"",AB27&lt;=0)</formula>
    </cfRule>
  </conditionalFormatting>
  <conditionalFormatting sqref="J28:K28">
    <cfRule type="expression" dxfId="281" priority="43">
      <formula>ISERROR(AB28)</formula>
    </cfRule>
    <cfRule type="expression" dxfId="280" priority="44">
      <formula>ISBLANK(AB28)</formula>
    </cfRule>
    <cfRule type="expression" dxfId="279" priority="45">
      <formula>AND(J28&lt;&gt;"",AB28&lt;=0)</formula>
    </cfRule>
  </conditionalFormatting>
  <conditionalFormatting sqref="J24:K24">
    <cfRule type="expression" dxfId="278" priority="61">
      <formula>ISERROR(AB24)</formula>
    </cfRule>
    <cfRule type="expression" dxfId="277" priority="62">
      <formula>ISBLANK(AB24)</formula>
    </cfRule>
    <cfRule type="expression" dxfId="276" priority="63">
      <formula>AND(J24&lt;&gt;"",AB24&lt;=0)</formula>
    </cfRule>
  </conditionalFormatting>
  <conditionalFormatting sqref="J22:K22">
    <cfRule type="expression" dxfId="275" priority="58">
      <formula>ISERROR(AB22)</formula>
    </cfRule>
    <cfRule type="expression" dxfId="274" priority="59">
      <formula>ISBLANK(AB22)</formula>
    </cfRule>
    <cfRule type="expression" dxfId="273" priority="60">
      <formula>AND(J22&lt;&gt;"",AB22&lt;=0)</formula>
    </cfRule>
  </conditionalFormatting>
  <conditionalFormatting sqref="J23:K23">
    <cfRule type="expression" dxfId="272" priority="55">
      <formula>ISERROR(AB23)</formula>
    </cfRule>
    <cfRule type="expression" dxfId="271" priority="56">
      <formula>ISBLANK(AB23)</formula>
    </cfRule>
    <cfRule type="expression" dxfId="270" priority="57">
      <formula>AND(J23&lt;&gt;"",AB23&lt;=0)</formula>
    </cfRule>
  </conditionalFormatting>
  <conditionalFormatting sqref="J14:K14">
    <cfRule type="expression" dxfId="269" priority="19">
      <formula>ISERROR(AB14)</formula>
    </cfRule>
    <cfRule type="expression" dxfId="268" priority="20">
      <formula>ISBLANK(AB14)</formula>
    </cfRule>
    <cfRule type="expression" dxfId="267" priority="21">
      <formula>AND(J14&lt;&gt;"",AB14&lt;=0)</formula>
    </cfRule>
  </conditionalFormatting>
  <conditionalFormatting sqref="J15:K15">
    <cfRule type="expression" dxfId="266" priority="16">
      <formula>ISERROR(AB15)</formula>
    </cfRule>
    <cfRule type="expression" dxfId="265" priority="17">
      <formula>ISBLANK(AB15)</formula>
    </cfRule>
    <cfRule type="expression" dxfId="264" priority="18">
      <formula>AND(J15&lt;&gt;"",AB15&lt;=0)</formula>
    </cfRule>
  </conditionalFormatting>
  <conditionalFormatting sqref="J16:K16">
    <cfRule type="expression" dxfId="263" priority="13">
      <formula>ISERROR(AB16)</formula>
    </cfRule>
    <cfRule type="expression" dxfId="262" priority="14">
      <formula>ISBLANK(AB16)</formula>
    </cfRule>
    <cfRule type="expression" dxfId="261" priority="15">
      <formula>AND(J16&lt;&gt;"",AB16&lt;=0)</formula>
    </cfRule>
  </conditionalFormatting>
  <conditionalFormatting sqref="J17:K17">
    <cfRule type="expression" dxfId="260" priority="10">
      <formula>ISERROR(AB17)</formula>
    </cfRule>
    <cfRule type="expression" dxfId="259" priority="11">
      <formula>ISBLANK(AB17)</formula>
    </cfRule>
    <cfRule type="expression" dxfId="258" priority="12">
      <formula>AND(J17&lt;&gt;"",AB17&lt;=0)</formula>
    </cfRule>
  </conditionalFormatting>
  <conditionalFormatting sqref="J10:K10">
    <cfRule type="expression" dxfId="257" priority="1">
      <formula>ISERROR(AB10)</formula>
    </cfRule>
    <cfRule type="expression" dxfId="256" priority="2">
      <formula>ISBLANK(AB10)</formula>
    </cfRule>
    <cfRule type="expression" dxfId="255" priority="3">
      <formula>AND(J10&lt;&gt;"",AB10&lt;=0)</formula>
    </cfRule>
  </conditionalFormatting>
  <conditionalFormatting sqref="J9:K9">
    <cfRule type="expression" dxfId="254" priority="4">
      <formula>ISERROR(AB9)</formula>
    </cfRule>
    <cfRule type="expression" dxfId="253" priority="5">
      <formula>ISBLANK(AB9)</formula>
    </cfRule>
    <cfRule type="expression" dxfId="252" priority="6">
      <formula>AND(J9&lt;&gt;"",AB9&lt;=0)</formula>
    </cfRule>
  </conditionalFormatting>
  <printOptions horizontalCentered="1"/>
  <pageMargins left="0.23622047244094491" right="0.23622047244094491" top="0.39370078740157483" bottom="0.39370078740157483" header="0" footer="0"/>
  <pageSetup paperSize="9" fitToHeight="0" orientation="landscape" r:id="rId1"/>
  <headerFooter alignWithMargins="0">
    <oddFooter>&amp;L&amp;F&amp;R&amp;P / &amp;N</oddFooter>
  </headerFooter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F8F574-784C-46D2-94AB-CC7FC1A73DAB}">
  <sheetPr codeName="Sheet19"/>
  <dimension ref="A1:AE43"/>
  <sheetViews>
    <sheetView showGridLines="0" view="pageBreakPreview" zoomScaleNormal="85" zoomScaleSheetLayoutView="100" workbookViewId="0">
      <selection activeCell="L14" sqref="L14"/>
    </sheetView>
  </sheetViews>
  <sheetFormatPr defaultColWidth="5.625" defaultRowHeight="13.5" x14ac:dyDescent="0.15"/>
  <cols>
    <col min="1" max="16" width="5.625" style="12" customWidth="1"/>
    <col min="17" max="25" width="5.625" style="12"/>
    <col min="26" max="26" width="12.75" style="96" bestFit="1" customWidth="1"/>
    <col min="27" max="27" width="12.75" style="12" bestFit="1" customWidth="1"/>
    <col min="28" max="28" width="18.375" style="12" bestFit="1" customWidth="1"/>
    <col min="29" max="238" width="5.625" style="12"/>
    <col min="239" max="254" width="5.625" style="12" customWidth="1"/>
    <col min="255" max="494" width="5.625" style="12"/>
    <col min="495" max="510" width="5.625" style="12" customWidth="1"/>
    <col min="511" max="750" width="5.625" style="12"/>
    <col min="751" max="766" width="5.625" style="12" customWidth="1"/>
    <col min="767" max="1006" width="5.625" style="12"/>
    <col min="1007" max="1022" width="5.625" style="12" customWidth="1"/>
    <col min="1023" max="1262" width="5.625" style="12"/>
    <col min="1263" max="1278" width="5.625" style="12" customWidth="1"/>
    <col min="1279" max="1518" width="5.625" style="12"/>
    <col min="1519" max="1534" width="5.625" style="12" customWidth="1"/>
    <col min="1535" max="1774" width="5.625" style="12"/>
    <col min="1775" max="1790" width="5.625" style="12" customWidth="1"/>
    <col min="1791" max="2030" width="5.625" style="12"/>
    <col min="2031" max="2046" width="5.625" style="12" customWidth="1"/>
    <col min="2047" max="2286" width="5.625" style="12"/>
    <col min="2287" max="2302" width="5.625" style="12" customWidth="1"/>
    <col min="2303" max="2542" width="5.625" style="12"/>
    <col min="2543" max="2558" width="5.625" style="12" customWidth="1"/>
    <col min="2559" max="2798" width="5.625" style="12"/>
    <col min="2799" max="2814" width="5.625" style="12" customWidth="1"/>
    <col min="2815" max="3054" width="5.625" style="12"/>
    <col min="3055" max="3070" width="5.625" style="12" customWidth="1"/>
    <col min="3071" max="3310" width="5.625" style="12"/>
    <col min="3311" max="3326" width="5.625" style="12" customWidth="1"/>
    <col min="3327" max="3566" width="5.625" style="12"/>
    <col min="3567" max="3582" width="5.625" style="12" customWidth="1"/>
    <col min="3583" max="3822" width="5.625" style="12"/>
    <col min="3823" max="3838" width="5.625" style="12" customWidth="1"/>
    <col min="3839" max="4078" width="5.625" style="12"/>
    <col min="4079" max="4094" width="5.625" style="12" customWidth="1"/>
    <col min="4095" max="4334" width="5.625" style="12"/>
    <col min="4335" max="4350" width="5.625" style="12" customWidth="1"/>
    <col min="4351" max="4590" width="5.625" style="12"/>
    <col min="4591" max="4606" width="5.625" style="12" customWidth="1"/>
    <col min="4607" max="4846" width="5.625" style="12"/>
    <col min="4847" max="4862" width="5.625" style="12" customWidth="1"/>
    <col min="4863" max="5102" width="5.625" style="12"/>
    <col min="5103" max="5118" width="5.625" style="12" customWidth="1"/>
    <col min="5119" max="5358" width="5.625" style="12"/>
    <col min="5359" max="5374" width="5.625" style="12" customWidth="1"/>
    <col min="5375" max="5614" width="5.625" style="12"/>
    <col min="5615" max="5630" width="5.625" style="12" customWidth="1"/>
    <col min="5631" max="5870" width="5.625" style="12"/>
    <col min="5871" max="5886" width="5.625" style="12" customWidth="1"/>
    <col min="5887" max="6126" width="5.625" style="12"/>
    <col min="6127" max="6142" width="5.625" style="12" customWidth="1"/>
    <col min="6143" max="6382" width="5.625" style="12"/>
    <col min="6383" max="6398" width="5.625" style="12" customWidth="1"/>
    <col min="6399" max="6638" width="5.625" style="12"/>
    <col min="6639" max="6654" width="5.625" style="12" customWidth="1"/>
    <col min="6655" max="6894" width="5.625" style="12"/>
    <col min="6895" max="6910" width="5.625" style="12" customWidth="1"/>
    <col min="6911" max="7150" width="5.625" style="12"/>
    <col min="7151" max="7166" width="5.625" style="12" customWidth="1"/>
    <col min="7167" max="7406" width="5.625" style="12"/>
    <col min="7407" max="7422" width="5.625" style="12" customWidth="1"/>
    <col min="7423" max="7662" width="5.625" style="12"/>
    <col min="7663" max="7678" width="5.625" style="12" customWidth="1"/>
    <col min="7679" max="7918" width="5.625" style="12"/>
    <col min="7919" max="7934" width="5.625" style="12" customWidth="1"/>
    <col min="7935" max="8174" width="5.625" style="12"/>
    <col min="8175" max="8190" width="5.625" style="12" customWidth="1"/>
    <col min="8191" max="8430" width="5.625" style="12"/>
    <col min="8431" max="8446" width="5.625" style="12" customWidth="1"/>
    <col min="8447" max="8686" width="5.625" style="12"/>
    <col min="8687" max="8702" width="5.625" style="12" customWidth="1"/>
    <col min="8703" max="8942" width="5.625" style="12"/>
    <col min="8943" max="8958" width="5.625" style="12" customWidth="1"/>
    <col min="8959" max="9198" width="5.625" style="12"/>
    <col min="9199" max="9214" width="5.625" style="12" customWidth="1"/>
    <col min="9215" max="9454" width="5.625" style="12"/>
    <col min="9455" max="9470" width="5.625" style="12" customWidth="1"/>
    <col min="9471" max="9710" width="5.625" style="12"/>
    <col min="9711" max="9726" width="5.625" style="12" customWidth="1"/>
    <col min="9727" max="9966" width="5.625" style="12"/>
    <col min="9967" max="9982" width="5.625" style="12" customWidth="1"/>
    <col min="9983" max="10222" width="5.625" style="12"/>
    <col min="10223" max="10238" width="5.625" style="12" customWidth="1"/>
    <col min="10239" max="10478" width="5.625" style="12"/>
    <col min="10479" max="10494" width="5.625" style="12" customWidth="1"/>
    <col min="10495" max="10734" width="5.625" style="12"/>
    <col min="10735" max="10750" width="5.625" style="12" customWidth="1"/>
    <col min="10751" max="10990" width="5.625" style="12"/>
    <col min="10991" max="11006" width="5.625" style="12" customWidth="1"/>
    <col min="11007" max="11246" width="5.625" style="12"/>
    <col min="11247" max="11262" width="5.625" style="12" customWidth="1"/>
    <col min="11263" max="11502" width="5.625" style="12"/>
    <col min="11503" max="11518" width="5.625" style="12" customWidth="1"/>
    <col min="11519" max="11758" width="5.625" style="12"/>
    <col min="11759" max="11774" width="5.625" style="12" customWidth="1"/>
    <col min="11775" max="12014" width="5.625" style="12"/>
    <col min="12015" max="12030" width="5.625" style="12" customWidth="1"/>
    <col min="12031" max="12270" width="5.625" style="12"/>
    <col min="12271" max="12286" width="5.625" style="12" customWidth="1"/>
    <col min="12287" max="12526" width="5.625" style="12"/>
    <col min="12527" max="12542" width="5.625" style="12" customWidth="1"/>
    <col min="12543" max="12782" width="5.625" style="12"/>
    <col min="12783" max="12798" width="5.625" style="12" customWidth="1"/>
    <col min="12799" max="13038" width="5.625" style="12"/>
    <col min="13039" max="13054" width="5.625" style="12" customWidth="1"/>
    <col min="13055" max="13294" width="5.625" style="12"/>
    <col min="13295" max="13310" width="5.625" style="12" customWidth="1"/>
    <col min="13311" max="13550" width="5.625" style="12"/>
    <col min="13551" max="13566" width="5.625" style="12" customWidth="1"/>
    <col min="13567" max="13806" width="5.625" style="12"/>
    <col min="13807" max="13822" width="5.625" style="12" customWidth="1"/>
    <col min="13823" max="14062" width="5.625" style="12"/>
    <col min="14063" max="14078" width="5.625" style="12" customWidth="1"/>
    <col min="14079" max="14318" width="5.625" style="12"/>
    <col min="14319" max="14334" width="5.625" style="12" customWidth="1"/>
    <col min="14335" max="14574" width="5.625" style="12"/>
    <col min="14575" max="14590" width="5.625" style="12" customWidth="1"/>
    <col min="14591" max="14830" width="5.625" style="12"/>
    <col min="14831" max="14846" width="5.625" style="12" customWidth="1"/>
    <col min="14847" max="15086" width="5.625" style="12"/>
    <col min="15087" max="15102" width="5.625" style="12" customWidth="1"/>
    <col min="15103" max="15342" width="5.625" style="12"/>
    <col min="15343" max="15358" width="5.625" style="12" customWidth="1"/>
    <col min="15359" max="15598" width="5.625" style="12"/>
    <col min="15599" max="15614" width="5.625" style="12" customWidth="1"/>
    <col min="15615" max="15854" width="5.625" style="12"/>
    <col min="15855" max="15870" width="5.625" style="12" customWidth="1"/>
    <col min="15871" max="16110" width="5.625" style="12"/>
    <col min="16111" max="16126" width="5.625" style="12" customWidth="1"/>
    <col min="16127" max="16384" width="5.625" style="12"/>
  </cols>
  <sheetData>
    <row r="1" spans="1:31" ht="13.5" customHeight="1" x14ac:dyDescent="0.15">
      <c r="A1" s="260" t="s">
        <v>81</v>
      </c>
      <c r="B1" s="261"/>
      <c r="C1" s="261"/>
      <c r="D1" s="261"/>
      <c r="E1" s="261"/>
      <c r="F1" s="262"/>
      <c r="G1" s="311" t="s">
        <v>5</v>
      </c>
      <c r="H1" s="312"/>
      <c r="I1" s="313"/>
      <c r="J1" s="21"/>
      <c r="K1" s="94"/>
      <c r="L1" s="94"/>
      <c r="M1" s="94"/>
      <c r="N1" s="94"/>
      <c r="O1" s="94"/>
      <c r="P1" s="311" t="s">
        <v>8</v>
      </c>
      <c r="Q1" s="313"/>
      <c r="R1" s="311" t="s">
        <v>7</v>
      </c>
      <c r="S1" s="312"/>
      <c r="T1" s="313"/>
      <c r="U1" s="311" t="s">
        <v>9</v>
      </c>
      <c r="V1" s="313"/>
      <c r="W1" s="311" t="s">
        <v>10</v>
      </c>
      <c r="X1" s="312"/>
      <c r="Y1" s="313"/>
      <c r="Z1" s="107"/>
      <c r="AA1" s="12" t="s">
        <v>128</v>
      </c>
      <c r="AE1" s="12" t="s">
        <v>124</v>
      </c>
    </row>
    <row r="2" spans="1:31" ht="13.5" customHeight="1" x14ac:dyDescent="0.15">
      <c r="A2" s="266"/>
      <c r="B2" s="267"/>
      <c r="C2" s="267"/>
      <c r="D2" s="267"/>
      <c r="E2" s="267"/>
      <c r="F2" s="268"/>
      <c r="G2" s="311" t="s">
        <v>6</v>
      </c>
      <c r="H2" s="312"/>
      <c r="I2" s="313"/>
      <c r="J2" s="21"/>
      <c r="K2" s="95"/>
      <c r="L2" s="95"/>
      <c r="M2" s="95"/>
      <c r="N2" s="95"/>
      <c r="O2" s="95"/>
      <c r="P2" s="246"/>
      <c r="Q2" s="247"/>
      <c r="R2" s="273"/>
      <c r="S2" s="274"/>
      <c r="T2" s="275"/>
      <c r="U2" s="246"/>
      <c r="V2" s="247"/>
      <c r="W2" s="273"/>
      <c r="X2" s="274"/>
      <c r="Y2" s="275"/>
      <c r="Z2" s="107"/>
      <c r="AA2" s="12">
        <f>SUM(AB:AB)</f>
        <v>8</v>
      </c>
    </row>
    <row r="3" spans="1:31" ht="13.5" customHeight="1" x14ac:dyDescent="0.15">
      <c r="A3" s="311" t="s">
        <v>82</v>
      </c>
      <c r="B3" s="312"/>
      <c r="C3" s="21" t="str">
        <f ca="1">RIGHT(CELL("filename",A2),LEN(CELL("filename",A2))-FIND("]",CELL("filename",A2)))</f>
        <v>経営ﾘｽｸｲﾝﾃﾞｯｸｽ</v>
      </c>
      <c r="D3" s="95"/>
      <c r="E3" s="95"/>
      <c r="F3" s="95"/>
      <c r="G3" s="311" t="s">
        <v>83</v>
      </c>
      <c r="H3" s="312"/>
      <c r="I3" s="313"/>
      <c r="J3" s="21" t="s">
        <v>239</v>
      </c>
      <c r="K3" s="95"/>
      <c r="L3" s="95"/>
      <c r="M3" s="95"/>
      <c r="N3" s="95"/>
      <c r="O3" s="95"/>
      <c r="P3" s="248"/>
      <c r="Q3" s="249"/>
      <c r="R3" s="276"/>
      <c r="S3" s="277"/>
      <c r="T3" s="278"/>
      <c r="U3" s="248"/>
      <c r="V3" s="249"/>
      <c r="W3" s="276"/>
      <c r="X3" s="277"/>
      <c r="Y3" s="278"/>
      <c r="Z3" s="107"/>
    </row>
    <row r="4" spans="1:31" x14ac:dyDescent="0.15">
      <c r="A4" s="86"/>
      <c r="B4" s="18"/>
      <c r="C4" s="18"/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  <c r="O4" s="18"/>
      <c r="P4" s="18"/>
      <c r="Q4" s="18"/>
      <c r="R4" s="18"/>
      <c r="S4" s="18"/>
      <c r="T4" s="18"/>
      <c r="U4" s="18"/>
      <c r="V4" s="18"/>
      <c r="W4" s="18"/>
      <c r="X4" s="18"/>
      <c r="Y4" s="18"/>
      <c r="Z4" s="92"/>
    </row>
    <row r="5" spans="1:31" ht="13.5" customHeight="1" x14ac:dyDescent="0.15">
      <c r="A5" s="83" t="s">
        <v>93</v>
      </c>
      <c r="B5" s="84"/>
      <c r="C5" s="84"/>
      <c r="D5" s="84"/>
      <c r="E5" s="84"/>
      <c r="F5" s="84"/>
      <c r="G5" s="84"/>
      <c r="H5" s="84"/>
      <c r="I5" s="84"/>
      <c r="J5" s="84"/>
      <c r="K5" s="84"/>
      <c r="L5" s="84"/>
      <c r="M5" s="84"/>
      <c r="N5" s="84"/>
      <c r="O5" s="84"/>
      <c r="P5" s="84"/>
      <c r="Q5" s="84"/>
      <c r="R5" s="84"/>
      <c r="S5" s="84"/>
      <c r="T5" s="84"/>
      <c r="U5" s="84"/>
      <c r="V5" s="84"/>
      <c r="W5" s="84"/>
      <c r="X5" s="84"/>
      <c r="Y5" s="85"/>
      <c r="Z5" s="92"/>
    </row>
    <row r="6" spans="1:31" x14ac:dyDescent="0.15">
      <c r="A6" s="164"/>
      <c r="B6" s="165"/>
      <c r="C6" s="165"/>
      <c r="D6" s="165"/>
      <c r="E6" s="165"/>
      <c r="F6" s="165"/>
      <c r="G6" s="165"/>
      <c r="H6" s="165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165"/>
      <c r="U6" s="165"/>
      <c r="V6" s="165"/>
      <c r="W6" s="165"/>
      <c r="X6" s="165"/>
      <c r="Y6" s="166"/>
      <c r="Z6" s="92"/>
    </row>
    <row r="7" spans="1:31" x14ac:dyDescent="0.15">
      <c r="A7" s="17"/>
      <c r="B7" s="163" t="s">
        <v>84</v>
      </c>
      <c r="C7" s="311" t="s">
        <v>205</v>
      </c>
      <c r="D7" s="312"/>
      <c r="E7" s="312"/>
      <c r="F7" s="313"/>
      <c r="G7" s="311" t="s">
        <v>83</v>
      </c>
      <c r="H7" s="312"/>
      <c r="I7" s="313"/>
      <c r="J7" s="311" t="s">
        <v>85</v>
      </c>
      <c r="K7" s="313"/>
      <c r="L7" s="97" t="s">
        <v>86</v>
      </c>
      <c r="M7" s="97" t="s">
        <v>87</v>
      </c>
      <c r="N7" s="97" t="s">
        <v>121</v>
      </c>
      <c r="O7" s="97" t="s">
        <v>88</v>
      </c>
      <c r="P7" s="97" t="s">
        <v>89</v>
      </c>
      <c r="Q7" s="97" t="s">
        <v>89</v>
      </c>
      <c r="R7" s="97" t="s">
        <v>89</v>
      </c>
      <c r="S7" s="97" t="s">
        <v>89</v>
      </c>
      <c r="T7" s="97" t="s">
        <v>89</v>
      </c>
      <c r="U7" s="311" t="s">
        <v>90</v>
      </c>
      <c r="V7" s="312"/>
      <c r="W7" s="312"/>
      <c r="X7" s="313"/>
      <c r="Y7" s="98"/>
      <c r="Z7" s="96" t="s">
        <v>126</v>
      </c>
      <c r="AA7" s="12" t="s">
        <v>127</v>
      </c>
      <c r="AB7" s="12" t="s">
        <v>125</v>
      </c>
    </row>
    <row r="8" spans="1:31" x14ac:dyDescent="0.15">
      <c r="A8" s="17"/>
      <c r="B8" s="99" t="s">
        <v>94</v>
      </c>
      <c r="C8" s="301" t="s">
        <v>263</v>
      </c>
      <c r="D8" s="302"/>
      <c r="E8" s="302"/>
      <c r="F8" s="303"/>
      <c r="G8" s="304">
        <v>1</v>
      </c>
      <c r="H8" s="305"/>
      <c r="I8" s="306"/>
      <c r="J8" s="304" t="s">
        <v>91</v>
      </c>
      <c r="K8" s="306"/>
      <c r="L8" s="100">
        <v>1</v>
      </c>
      <c r="M8" s="100"/>
      <c r="N8" s="100"/>
      <c r="O8" s="100"/>
      <c r="P8" s="100"/>
      <c r="Q8" s="100"/>
      <c r="R8" s="100"/>
      <c r="S8" s="100"/>
      <c r="T8" s="100"/>
      <c r="U8" s="307" t="s">
        <v>264</v>
      </c>
      <c r="V8" s="308"/>
      <c r="W8" s="308"/>
      <c r="X8" s="309"/>
      <c r="Y8" s="98"/>
      <c r="Z8" s="106">
        <f t="shared" ref="Z8:Z37" si="0">IF(LEFT(J8,7)="decimal",INT(MID(J8,9,FIND(",",J8,9)-9)),0)</f>
        <v>0</v>
      </c>
      <c r="AA8" s="105">
        <f t="shared" ref="AA8:AA37" si="1">IF(J8="varbinary(max)",2147483647,IF(J8="bit",1,IF(LEFT(J8,4)="char",INT(MID(J8,6,LEN(J8)-6)),IF(LEFT(J8,7)="varchar",INT(MID(J8,9,LEN(J8)-9)+2),IF(LEFT(J8,8)="nvarchar",INT(MID(J8,10,LEN(J8)-10)*2+2),IF(LEFT(J8,7)="decimal",IF(Z8&lt;10,5,IF(Z8&lt;20,9,IF(Z8&lt;29,13,17))),0))))))</f>
        <v>0</v>
      </c>
      <c r="AB8" s="105">
        <f t="shared" ref="AB8:AB37" si="2">IF(AA8&gt;0,AA8,IF(J8="date",3,IF(OR(J8="int",J8="real"),4,IF(J8="time",5,IF(OR(J8="datetime",J8="float",J8="datetime2"),8,IF(J8="uniqueidentifier",16,0))))))</f>
        <v>4</v>
      </c>
    </row>
    <row r="9" spans="1:31" x14ac:dyDescent="0.15">
      <c r="A9" s="101"/>
      <c r="B9" s="99">
        <f>B8+1</f>
        <v>2</v>
      </c>
      <c r="C9" s="301" t="s">
        <v>211</v>
      </c>
      <c r="D9" s="302"/>
      <c r="E9" s="302"/>
      <c r="F9" s="303"/>
      <c r="G9" s="304">
        <v>1</v>
      </c>
      <c r="H9" s="305"/>
      <c r="I9" s="306"/>
      <c r="J9" s="304" t="s">
        <v>91</v>
      </c>
      <c r="K9" s="306"/>
      <c r="L9" s="100">
        <v>1</v>
      </c>
      <c r="M9" s="162" t="s">
        <v>92</v>
      </c>
      <c r="N9" s="100">
        <v>0</v>
      </c>
      <c r="O9" s="100"/>
      <c r="P9" s="100"/>
      <c r="Q9" s="100"/>
      <c r="R9" s="100"/>
      <c r="S9" s="100"/>
      <c r="T9" s="100"/>
      <c r="U9" s="307" t="s">
        <v>210</v>
      </c>
      <c r="V9" s="308"/>
      <c r="W9" s="308"/>
      <c r="X9" s="309"/>
      <c r="Y9" s="98"/>
      <c r="Z9" s="106">
        <f>IF(LEFT(J9,7)="decimal",INT(MID(J9,9,FIND(",",J9,9)-9)),0)</f>
        <v>0</v>
      </c>
      <c r="AA9" s="105">
        <f>IF(J9="varbinary(max)",2147483647,IF(J9="bit",1,IF(LEFT(J9,4)="char",INT(MID(J9,6,LEN(J9)-6)),IF(LEFT(J9,7)="varchar",INT(MID(J9,9,LEN(J9)-9)+2),IF(LEFT(J9,8)="nvarchar",INT(MID(J9,10,LEN(J9)-10)*2+2),IF(LEFT(J9,7)="decimal",IF(Z9&lt;10,5,IF(Z9&lt;20,9,IF(Z9&lt;29,13,17))),0))))))</f>
        <v>0</v>
      </c>
      <c r="AB9" s="105">
        <f>IF(AA9&gt;0,AA9,IF(J9="date",3,IF(OR(J9="int",J9="real"),4,IF(J9="time",5,IF(OR(J9="datetime",J9="float",J9="datetime2"),8,IF(J9="uniqueidentifier",16,0))))))</f>
        <v>4</v>
      </c>
    </row>
    <row r="10" spans="1:31" x14ac:dyDescent="0.15">
      <c r="A10" s="17"/>
      <c r="B10" s="99">
        <f t="shared" ref="B10:B37" si="3">B9+1</f>
        <v>3</v>
      </c>
      <c r="C10" s="301"/>
      <c r="D10" s="302"/>
      <c r="E10" s="302"/>
      <c r="F10" s="303"/>
      <c r="G10" s="304"/>
      <c r="H10" s="305"/>
      <c r="I10" s="306"/>
      <c r="J10" s="304"/>
      <c r="K10" s="306"/>
      <c r="L10" s="100"/>
      <c r="M10" s="162"/>
      <c r="N10" s="100"/>
      <c r="O10" s="100"/>
      <c r="P10" s="100"/>
      <c r="Q10" s="100"/>
      <c r="R10" s="100"/>
      <c r="S10" s="100"/>
      <c r="T10" s="100"/>
      <c r="U10" s="301"/>
      <c r="V10" s="302"/>
      <c r="W10" s="302"/>
      <c r="X10" s="303"/>
      <c r="Y10" s="98"/>
      <c r="Z10" s="106">
        <f t="shared" si="0"/>
        <v>0</v>
      </c>
      <c r="AA10" s="105">
        <f t="shared" si="1"/>
        <v>0</v>
      </c>
      <c r="AB10" s="105">
        <f t="shared" si="2"/>
        <v>0</v>
      </c>
    </row>
    <row r="11" spans="1:31" x14ac:dyDescent="0.15">
      <c r="A11" s="17"/>
      <c r="B11" s="99">
        <f t="shared" si="3"/>
        <v>4</v>
      </c>
      <c r="C11" s="301"/>
      <c r="D11" s="302"/>
      <c r="E11" s="302"/>
      <c r="F11" s="303"/>
      <c r="G11" s="304"/>
      <c r="H11" s="305"/>
      <c r="I11" s="306"/>
      <c r="J11" s="304"/>
      <c r="K11" s="306"/>
      <c r="L11" s="100"/>
      <c r="M11" s="162"/>
      <c r="N11" s="100"/>
      <c r="O11" s="100"/>
      <c r="P11" s="100"/>
      <c r="Q11" s="100"/>
      <c r="R11" s="100"/>
      <c r="S11" s="100"/>
      <c r="T11" s="100"/>
      <c r="U11" s="301"/>
      <c r="V11" s="302"/>
      <c r="W11" s="302"/>
      <c r="X11" s="303"/>
      <c r="Y11" s="98"/>
      <c r="Z11" s="106">
        <f t="shared" si="0"/>
        <v>0</v>
      </c>
      <c r="AA11" s="105">
        <f t="shared" si="1"/>
        <v>0</v>
      </c>
      <c r="AB11" s="105">
        <f t="shared" si="2"/>
        <v>0</v>
      </c>
    </row>
    <row r="12" spans="1:31" x14ac:dyDescent="0.15">
      <c r="A12" s="17"/>
      <c r="B12" s="99">
        <f t="shared" si="3"/>
        <v>5</v>
      </c>
      <c r="C12" s="301"/>
      <c r="D12" s="302"/>
      <c r="E12" s="302"/>
      <c r="F12" s="303"/>
      <c r="G12" s="304"/>
      <c r="H12" s="305"/>
      <c r="I12" s="306"/>
      <c r="J12" s="304"/>
      <c r="K12" s="306"/>
      <c r="L12" s="100"/>
      <c r="M12" s="162"/>
      <c r="N12" s="100"/>
      <c r="O12" s="100"/>
      <c r="P12" s="100"/>
      <c r="Q12" s="100"/>
      <c r="R12" s="100"/>
      <c r="S12" s="100"/>
      <c r="T12" s="100"/>
      <c r="U12" s="301"/>
      <c r="V12" s="302"/>
      <c r="W12" s="302"/>
      <c r="X12" s="303"/>
      <c r="Y12" s="98"/>
      <c r="Z12" s="106">
        <f t="shared" si="0"/>
        <v>0</v>
      </c>
      <c r="AA12" s="105">
        <f t="shared" si="1"/>
        <v>0</v>
      </c>
      <c r="AB12" s="105">
        <f t="shared" si="2"/>
        <v>0</v>
      </c>
    </row>
    <row r="13" spans="1:31" x14ac:dyDescent="0.15">
      <c r="A13" s="17"/>
      <c r="B13" s="99">
        <f t="shared" si="3"/>
        <v>6</v>
      </c>
      <c r="C13" s="301"/>
      <c r="D13" s="302"/>
      <c r="E13" s="302"/>
      <c r="F13" s="303"/>
      <c r="G13" s="304"/>
      <c r="H13" s="305"/>
      <c r="I13" s="306"/>
      <c r="J13" s="304"/>
      <c r="K13" s="306"/>
      <c r="L13" s="100"/>
      <c r="M13" s="162"/>
      <c r="N13" s="100"/>
      <c r="O13" s="100"/>
      <c r="P13" s="100"/>
      <c r="Q13" s="100"/>
      <c r="R13" s="100"/>
      <c r="S13" s="100"/>
      <c r="T13" s="100"/>
      <c r="U13" s="301"/>
      <c r="V13" s="302"/>
      <c r="W13" s="302"/>
      <c r="X13" s="303"/>
      <c r="Y13" s="98"/>
      <c r="Z13" s="106">
        <f t="shared" si="0"/>
        <v>0</v>
      </c>
      <c r="AA13" s="105">
        <f t="shared" si="1"/>
        <v>0</v>
      </c>
      <c r="AB13" s="105">
        <f t="shared" si="2"/>
        <v>0</v>
      </c>
    </row>
    <row r="14" spans="1:31" x14ac:dyDescent="0.15">
      <c r="A14" s="17"/>
      <c r="B14" s="99">
        <f t="shared" si="3"/>
        <v>7</v>
      </c>
      <c r="C14" s="167"/>
      <c r="D14" s="168"/>
      <c r="E14" s="168"/>
      <c r="F14" s="169"/>
      <c r="G14" s="304"/>
      <c r="H14" s="305"/>
      <c r="I14" s="306"/>
      <c r="J14" s="304"/>
      <c r="K14" s="306"/>
      <c r="L14" s="100"/>
      <c r="M14" s="162"/>
      <c r="N14" s="104"/>
      <c r="O14" s="100"/>
      <c r="P14" s="100"/>
      <c r="Q14" s="100"/>
      <c r="R14" s="100"/>
      <c r="S14" s="100"/>
      <c r="T14" s="100"/>
      <c r="U14" s="301"/>
      <c r="V14" s="302"/>
      <c r="W14" s="302"/>
      <c r="X14" s="303"/>
      <c r="Y14" s="98"/>
      <c r="Z14" s="106">
        <f t="shared" si="0"/>
        <v>0</v>
      </c>
      <c r="AA14" s="105">
        <f t="shared" si="1"/>
        <v>0</v>
      </c>
      <c r="AB14" s="105">
        <f>IF(AA14&gt;0,AA14,IF(J14="date",3,IF(OR(J14="int",J14="real"),4,IF(J14="time",5,IF(OR(J14="datetime",J14="float",J14="datetime2"),8,IF(J14="uniqueidentifier",16,0))))))</f>
        <v>0</v>
      </c>
    </row>
    <row r="15" spans="1:31" x14ac:dyDescent="0.15">
      <c r="A15" s="17"/>
      <c r="B15" s="99">
        <f t="shared" si="3"/>
        <v>8</v>
      </c>
      <c r="C15" s="301"/>
      <c r="D15" s="302"/>
      <c r="E15" s="302"/>
      <c r="F15" s="303"/>
      <c r="G15" s="304"/>
      <c r="H15" s="305"/>
      <c r="I15" s="306"/>
      <c r="J15" s="304"/>
      <c r="K15" s="306"/>
      <c r="L15" s="100"/>
      <c r="M15" s="162"/>
      <c r="N15" s="104"/>
      <c r="O15" s="100"/>
      <c r="P15" s="100"/>
      <c r="Q15" s="100"/>
      <c r="R15" s="100"/>
      <c r="S15" s="100"/>
      <c r="T15" s="100"/>
      <c r="U15" s="301"/>
      <c r="V15" s="302"/>
      <c r="W15" s="302"/>
      <c r="X15" s="303"/>
      <c r="Y15" s="98"/>
      <c r="Z15" s="106">
        <f t="shared" si="0"/>
        <v>0</v>
      </c>
      <c r="AA15" s="105">
        <f t="shared" si="1"/>
        <v>0</v>
      </c>
      <c r="AB15" s="105">
        <f t="shared" si="2"/>
        <v>0</v>
      </c>
    </row>
    <row r="16" spans="1:31" x14ac:dyDescent="0.15">
      <c r="A16" s="101"/>
      <c r="B16" s="99">
        <f t="shared" si="3"/>
        <v>9</v>
      </c>
      <c r="C16" s="301"/>
      <c r="D16" s="302"/>
      <c r="E16" s="302"/>
      <c r="F16" s="303"/>
      <c r="G16" s="304"/>
      <c r="H16" s="305"/>
      <c r="I16" s="306"/>
      <c r="J16" s="304"/>
      <c r="K16" s="306"/>
      <c r="L16" s="100"/>
      <c r="M16" s="162"/>
      <c r="N16" s="104"/>
      <c r="O16" s="100"/>
      <c r="P16" s="100"/>
      <c r="Q16" s="100"/>
      <c r="R16" s="100"/>
      <c r="S16" s="100"/>
      <c r="T16" s="100"/>
      <c r="U16" s="301"/>
      <c r="V16" s="302"/>
      <c r="W16" s="302"/>
      <c r="X16" s="303"/>
      <c r="Y16" s="98"/>
      <c r="Z16" s="106">
        <f t="shared" si="0"/>
        <v>0</v>
      </c>
      <c r="AA16" s="105">
        <f t="shared" si="1"/>
        <v>0</v>
      </c>
      <c r="AB16" s="105">
        <f t="shared" si="2"/>
        <v>0</v>
      </c>
    </row>
    <row r="17" spans="1:28" x14ac:dyDescent="0.15">
      <c r="A17" s="101"/>
      <c r="B17" s="99">
        <f t="shared" si="3"/>
        <v>10</v>
      </c>
      <c r="C17" s="301"/>
      <c r="D17" s="302"/>
      <c r="E17" s="302"/>
      <c r="F17" s="303"/>
      <c r="G17" s="304"/>
      <c r="H17" s="305"/>
      <c r="I17" s="306"/>
      <c r="J17" s="304"/>
      <c r="K17" s="306"/>
      <c r="L17" s="100"/>
      <c r="M17" s="162"/>
      <c r="N17" s="100"/>
      <c r="O17" s="100"/>
      <c r="P17" s="100"/>
      <c r="Q17" s="100"/>
      <c r="R17" s="100"/>
      <c r="S17" s="100"/>
      <c r="T17" s="100"/>
      <c r="U17" s="301"/>
      <c r="V17" s="302"/>
      <c r="W17" s="302"/>
      <c r="X17" s="303"/>
      <c r="Y17" s="98"/>
      <c r="Z17" s="106">
        <f t="shared" si="0"/>
        <v>0</v>
      </c>
      <c r="AA17" s="105">
        <f t="shared" si="1"/>
        <v>0</v>
      </c>
      <c r="AB17" s="105">
        <f t="shared" si="2"/>
        <v>0</v>
      </c>
    </row>
    <row r="18" spans="1:28" x14ac:dyDescent="0.15">
      <c r="A18" s="101"/>
      <c r="B18" s="99">
        <f t="shared" si="3"/>
        <v>11</v>
      </c>
      <c r="C18" s="301"/>
      <c r="D18" s="302"/>
      <c r="E18" s="302"/>
      <c r="F18" s="303"/>
      <c r="G18" s="304"/>
      <c r="H18" s="305"/>
      <c r="I18" s="306"/>
      <c r="J18" s="304"/>
      <c r="K18" s="306"/>
      <c r="L18" s="100"/>
      <c r="M18" s="162"/>
      <c r="N18" s="100"/>
      <c r="O18" s="100"/>
      <c r="P18" s="100"/>
      <c r="Q18" s="100"/>
      <c r="R18" s="100"/>
      <c r="S18" s="100"/>
      <c r="T18" s="100"/>
      <c r="U18" s="301"/>
      <c r="V18" s="302"/>
      <c r="W18" s="302"/>
      <c r="X18" s="303"/>
      <c r="Y18" s="98"/>
      <c r="Z18" s="106">
        <f t="shared" si="0"/>
        <v>0</v>
      </c>
      <c r="AA18" s="105">
        <f t="shared" si="1"/>
        <v>0</v>
      </c>
      <c r="AB18" s="105">
        <f t="shared" si="2"/>
        <v>0</v>
      </c>
    </row>
    <row r="19" spans="1:28" x14ac:dyDescent="0.15">
      <c r="A19" s="101"/>
      <c r="B19" s="99">
        <f t="shared" si="3"/>
        <v>12</v>
      </c>
      <c r="C19" s="301"/>
      <c r="D19" s="302"/>
      <c r="E19" s="302"/>
      <c r="F19" s="303"/>
      <c r="G19" s="304"/>
      <c r="H19" s="305"/>
      <c r="I19" s="306"/>
      <c r="J19" s="304"/>
      <c r="K19" s="306"/>
      <c r="L19" s="100"/>
      <c r="M19" s="162"/>
      <c r="N19" s="100"/>
      <c r="O19" s="100"/>
      <c r="P19" s="100"/>
      <c r="Q19" s="100"/>
      <c r="R19" s="100"/>
      <c r="S19" s="100"/>
      <c r="T19" s="100"/>
      <c r="U19" s="301"/>
      <c r="V19" s="302"/>
      <c r="W19" s="302"/>
      <c r="X19" s="303"/>
      <c r="Y19" s="98"/>
      <c r="Z19" s="106">
        <f t="shared" si="0"/>
        <v>0</v>
      </c>
      <c r="AA19" s="105">
        <f t="shared" si="1"/>
        <v>0</v>
      </c>
      <c r="AB19" s="105">
        <f t="shared" si="2"/>
        <v>0</v>
      </c>
    </row>
    <row r="20" spans="1:28" x14ac:dyDescent="0.15">
      <c r="A20" s="101"/>
      <c r="B20" s="99">
        <f t="shared" si="3"/>
        <v>13</v>
      </c>
      <c r="C20" s="301"/>
      <c r="D20" s="302"/>
      <c r="E20" s="302"/>
      <c r="F20" s="303"/>
      <c r="G20" s="304"/>
      <c r="H20" s="305"/>
      <c r="I20" s="306"/>
      <c r="J20" s="304"/>
      <c r="K20" s="306"/>
      <c r="L20" s="100"/>
      <c r="M20" s="162"/>
      <c r="N20" s="100"/>
      <c r="O20" s="100"/>
      <c r="P20" s="100"/>
      <c r="Q20" s="100"/>
      <c r="R20" s="100"/>
      <c r="S20" s="100"/>
      <c r="T20" s="100"/>
      <c r="U20" s="301"/>
      <c r="V20" s="302"/>
      <c r="W20" s="302"/>
      <c r="X20" s="303"/>
      <c r="Y20" s="98"/>
      <c r="Z20" s="106">
        <f t="shared" si="0"/>
        <v>0</v>
      </c>
      <c r="AA20" s="105">
        <f t="shared" si="1"/>
        <v>0</v>
      </c>
      <c r="AB20" s="105">
        <f t="shared" si="2"/>
        <v>0</v>
      </c>
    </row>
    <row r="21" spans="1:28" x14ac:dyDescent="0.15">
      <c r="A21" s="101"/>
      <c r="B21" s="99">
        <f t="shared" si="3"/>
        <v>14</v>
      </c>
      <c r="C21" s="167"/>
      <c r="D21" s="168"/>
      <c r="E21" s="168"/>
      <c r="F21" s="169"/>
      <c r="G21" s="304"/>
      <c r="H21" s="305"/>
      <c r="I21" s="306"/>
      <c r="J21" s="304"/>
      <c r="K21" s="306"/>
      <c r="L21" s="100"/>
      <c r="M21" s="162"/>
      <c r="N21" s="104"/>
      <c r="O21" s="100"/>
      <c r="P21" s="100"/>
      <c r="Q21" s="100"/>
      <c r="R21" s="100"/>
      <c r="S21" s="100"/>
      <c r="T21" s="100"/>
      <c r="U21" s="301"/>
      <c r="V21" s="302"/>
      <c r="W21" s="302"/>
      <c r="X21" s="303"/>
      <c r="Y21" s="98"/>
      <c r="Z21" s="106">
        <f t="shared" si="0"/>
        <v>0</v>
      </c>
      <c r="AA21" s="105">
        <f t="shared" si="1"/>
        <v>0</v>
      </c>
      <c r="AB21" s="105">
        <f t="shared" si="2"/>
        <v>0</v>
      </c>
    </row>
    <row r="22" spans="1:28" x14ac:dyDescent="0.15">
      <c r="A22" s="101"/>
      <c r="B22" s="99">
        <f t="shared" si="3"/>
        <v>15</v>
      </c>
      <c r="C22" s="301"/>
      <c r="D22" s="302"/>
      <c r="E22" s="302"/>
      <c r="F22" s="303"/>
      <c r="G22" s="304"/>
      <c r="H22" s="305"/>
      <c r="I22" s="306"/>
      <c r="J22" s="304"/>
      <c r="K22" s="306"/>
      <c r="L22" s="100"/>
      <c r="M22" s="162"/>
      <c r="N22" s="100"/>
      <c r="O22" s="100"/>
      <c r="P22" s="100"/>
      <c r="Q22" s="100"/>
      <c r="R22" s="100"/>
      <c r="S22" s="100"/>
      <c r="T22" s="100"/>
      <c r="U22" s="301"/>
      <c r="V22" s="302"/>
      <c r="W22" s="302"/>
      <c r="X22" s="303"/>
      <c r="Y22" s="98"/>
      <c r="Z22" s="106">
        <f t="shared" si="0"/>
        <v>0</v>
      </c>
      <c r="AA22" s="105">
        <f t="shared" si="1"/>
        <v>0</v>
      </c>
      <c r="AB22" s="105">
        <f t="shared" si="2"/>
        <v>0</v>
      </c>
    </row>
    <row r="23" spans="1:28" x14ac:dyDescent="0.15">
      <c r="A23" s="101"/>
      <c r="B23" s="99">
        <f t="shared" si="3"/>
        <v>16</v>
      </c>
      <c r="C23" s="301"/>
      <c r="D23" s="302"/>
      <c r="E23" s="302"/>
      <c r="F23" s="303"/>
      <c r="G23" s="304"/>
      <c r="H23" s="305"/>
      <c r="I23" s="306"/>
      <c r="J23" s="304"/>
      <c r="K23" s="306"/>
      <c r="L23" s="100"/>
      <c r="M23" s="162"/>
      <c r="N23" s="100"/>
      <c r="O23" s="100"/>
      <c r="P23" s="100"/>
      <c r="Q23" s="100"/>
      <c r="R23" s="100"/>
      <c r="S23" s="100"/>
      <c r="T23" s="100"/>
      <c r="U23" s="301"/>
      <c r="V23" s="302"/>
      <c r="W23" s="302"/>
      <c r="X23" s="303"/>
      <c r="Y23" s="98"/>
      <c r="Z23" s="106">
        <f t="shared" si="0"/>
        <v>0</v>
      </c>
      <c r="AA23" s="105">
        <f t="shared" si="1"/>
        <v>0</v>
      </c>
      <c r="AB23" s="105">
        <f t="shared" si="2"/>
        <v>0</v>
      </c>
    </row>
    <row r="24" spans="1:28" x14ac:dyDescent="0.15">
      <c r="A24" s="101"/>
      <c r="B24" s="99">
        <f t="shared" si="3"/>
        <v>17</v>
      </c>
      <c r="C24" s="301"/>
      <c r="D24" s="302"/>
      <c r="E24" s="302"/>
      <c r="F24" s="303"/>
      <c r="G24" s="304"/>
      <c r="H24" s="305"/>
      <c r="I24" s="306"/>
      <c r="J24" s="304"/>
      <c r="K24" s="306"/>
      <c r="L24" s="100"/>
      <c r="M24" s="162"/>
      <c r="N24" s="100"/>
      <c r="O24" s="100"/>
      <c r="P24" s="100"/>
      <c r="Q24" s="100"/>
      <c r="R24" s="100"/>
      <c r="S24" s="100"/>
      <c r="T24" s="100"/>
      <c r="U24" s="301"/>
      <c r="V24" s="302"/>
      <c r="W24" s="302"/>
      <c r="X24" s="303"/>
      <c r="Y24" s="98"/>
      <c r="Z24" s="106">
        <f t="shared" si="0"/>
        <v>0</v>
      </c>
      <c r="AA24" s="105">
        <f t="shared" si="1"/>
        <v>0</v>
      </c>
      <c r="AB24" s="105">
        <f t="shared" si="2"/>
        <v>0</v>
      </c>
    </row>
    <row r="25" spans="1:28" x14ac:dyDescent="0.15">
      <c r="A25" s="101"/>
      <c r="B25" s="99">
        <f t="shared" si="3"/>
        <v>18</v>
      </c>
      <c r="C25" s="301"/>
      <c r="D25" s="302"/>
      <c r="E25" s="302"/>
      <c r="F25" s="303"/>
      <c r="G25" s="304"/>
      <c r="H25" s="305"/>
      <c r="I25" s="306"/>
      <c r="J25" s="304"/>
      <c r="K25" s="306"/>
      <c r="L25" s="100"/>
      <c r="M25" s="162"/>
      <c r="N25" s="100"/>
      <c r="O25" s="100"/>
      <c r="P25" s="100"/>
      <c r="Q25" s="100"/>
      <c r="R25" s="100"/>
      <c r="S25" s="100"/>
      <c r="T25" s="100"/>
      <c r="U25" s="301"/>
      <c r="V25" s="302"/>
      <c r="W25" s="302"/>
      <c r="X25" s="303"/>
      <c r="Y25" s="98"/>
      <c r="Z25" s="106">
        <f t="shared" si="0"/>
        <v>0</v>
      </c>
      <c r="AA25" s="105">
        <f t="shared" si="1"/>
        <v>0</v>
      </c>
      <c r="AB25" s="105">
        <f t="shared" si="2"/>
        <v>0</v>
      </c>
    </row>
    <row r="26" spans="1:28" x14ac:dyDescent="0.15">
      <c r="A26" s="101"/>
      <c r="B26" s="99">
        <f t="shared" si="3"/>
        <v>19</v>
      </c>
      <c r="C26" s="167"/>
      <c r="D26" s="168"/>
      <c r="E26" s="168"/>
      <c r="F26" s="169"/>
      <c r="G26" s="304"/>
      <c r="H26" s="305"/>
      <c r="I26" s="306"/>
      <c r="J26" s="304"/>
      <c r="K26" s="306"/>
      <c r="L26" s="100"/>
      <c r="M26" s="162"/>
      <c r="N26" s="104"/>
      <c r="O26" s="100"/>
      <c r="P26" s="100"/>
      <c r="Q26" s="100"/>
      <c r="R26" s="100"/>
      <c r="S26" s="100"/>
      <c r="T26" s="100"/>
      <c r="U26" s="301"/>
      <c r="V26" s="302"/>
      <c r="W26" s="302"/>
      <c r="X26" s="303"/>
      <c r="Y26" s="98"/>
      <c r="Z26" s="106">
        <f t="shared" si="0"/>
        <v>0</v>
      </c>
      <c r="AA26" s="105">
        <f t="shared" si="1"/>
        <v>0</v>
      </c>
      <c r="AB26" s="105">
        <f t="shared" si="2"/>
        <v>0</v>
      </c>
    </row>
    <row r="27" spans="1:28" x14ac:dyDescent="0.15">
      <c r="A27" s="101"/>
      <c r="B27" s="99">
        <f t="shared" si="3"/>
        <v>20</v>
      </c>
      <c r="C27" s="301"/>
      <c r="D27" s="302"/>
      <c r="E27" s="302"/>
      <c r="F27" s="303"/>
      <c r="G27" s="304"/>
      <c r="H27" s="305"/>
      <c r="I27" s="306"/>
      <c r="J27" s="304"/>
      <c r="K27" s="306"/>
      <c r="L27" s="100"/>
      <c r="M27" s="162"/>
      <c r="N27" s="104"/>
      <c r="O27" s="100"/>
      <c r="P27" s="100"/>
      <c r="Q27" s="100"/>
      <c r="R27" s="100"/>
      <c r="S27" s="100"/>
      <c r="T27" s="100"/>
      <c r="U27" s="301"/>
      <c r="V27" s="302"/>
      <c r="W27" s="302"/>
      <c r="X27" s="303"/>
      <c r="Y27" s="98"/>
      <c r="Z27" s="106">
        <f t="shared" si="0"/>
        <v>0</v>
      </c>
      <c r="AA27" s="105">
        <f t="shared" si="1"/>
        <v>0</v>
      </c>
      <c r="AB27" s="105">
        <f t="shared" si="2"/>
        <v>0</v>
      </c>
    </row>
    <row r="28" spans="1:28" x14ac:dyDescent="0.15">
      <c r="A28" s="101"/>
      <c r="B28" s="99">
        <f t="shared" si="3"/>
        <v>21</v>
      </c>
      <c r="C28" s="301"/>
      <c r="D28" s="302"/>
      <c r="E28" s="302"/>
      <c r="F28" s="303"/>
      <c r="G28" s="304"/>
      <c r="H28" s="305"/>
      <c r="I28" s="306"/>
      <c r="J28" s="304"/>
      <c r="K28" s="306"/>
      <c r="L28" s="100"/>
      <c r="M28" s="162"/>
      <c r="N28" s="104"/>
      <c r="O28" s="100"/>
      <c r="P28" s="100"/>
      <c r="Q28" s="100"/>
      <c r="R28" s="100"/>
      <c r="S28" s="100"/>
      <c r="T28" s="100"/>
      <c r="U28" s="301"/>
      <c r="V28" s="302"/>
      <c r="W28" s="302"/>
      <c r="X28" s="303"/>
      <c r="Y28" s="98"/>
      <c r="Z28" s="106">
        <f t="shared" si="0"/>
        <v>0</v>
      </c>
      <c r="AA28" s="105">
        <f t="shared" si="1"/>
        <v>0</v>
      </c>
      <c r="AB28" s="105">
        <f t="shared" si="2"/>
        <v>0</v>
      </c>
    </row>
    <row r="29" spans="1:28" x14ac:dyDescent="0.15">
      <c r="A29" s="101"/>
      <c r="B29" s="99">
        <f t="shared" si="3"/>
        <v>22</v>
      </c>
      <c r="C29" s="301"/>
      <c r="D29" s="302"/>
      <c r="E29" s="302"/>
      <c r="F29" s="303"/>
      <c r="G29" s="304"/>
      <c r="H29" s="305"/>
      <c r="I29" s="306"/>
      <c r="J29" s="304"/>
      <c r="K29" s="306"/>
      <c r="L29" s="100"/>
      <c r="M29" s="162"/>
      <c r="N29" s="100"/>
      <c r="O29" s="100"/>
      <c r="P29" s="100"/>
      <c r="Q29" s="100"/>
      <c r="R29" s="100"/>
      <c r="S29" s="100"/>
      <c r="T29" s="100"/>
      <c r="U29" s="301"/>
      <c r="V29" s="302"/>
      <c r="W29" s="302"/>
      <c r="X29" s="303"/>
      <c r="Y29" s="98"/>
      <c r="Z29" s="106">
        <f t="shared" si="0"/>
        <v>0</v>
      </c>
      <c r="AA29" s="105">
        <f t="shared" si="1"/>
        <v>0</v>
      </c>
      <c r="AB29" s="105">
        <f t="shared" si="2"/>
        <v>0</v>
      </c>
    </row>
    <row r="30" spans="1:28" x14ac:dyDescent="0.15">
      <c r="A30" s="101"/>
      <c r="B30" s="99">
        <f t="shared" si="3"/>
        <v>23</v>
      </c>
      <c r="C30" s="301"/>
      <c r="D30" s="302"/>
      <c r="E30" s="302"/>
      <c r="F30" s="303"/>
      <c r="G30" s="304"/>
      <c r="H30" s="305"/>
      <c r="I30" s="306"/>
      <c r="J30" s="304"/>
      <c r="K30" s="306"/>
      <c r="L30" s="100"/>
      <c r="M30" s="162"/>
      <c r="N30" s="100"/>
      <c r="O30" s="100"/>
      <c r="P30" s="100"/>
      <c r="Q30" s="100"/>
      <c r="R30" s="100"/>
      <c r="S30" s="100"/>
      <c r="T30" s="100"/>
      <c r="U30" s="301"/>
      <c r="V30" s="302"/>
      <c r="W30" s="302"/>
      <c r="X30" s="303"/>
      <c r="Y30" s="98"/>
      <c r="Z30" s="106">
        <f t="shared" si="0"/>
        <v>0</v>
      </c>
      <c r="AA30" s="105">
        <f t="shared" si="1"/>
        <v>0</v>
      </c>
      <c r="AB30" s="105">
        <f t="shared" si="2"/>
        <v>0</v>
      </c>
    </row>
    <row r="31" spans="1:28" x14ac:dyDescent="0.15">
      <c r="A31" s="101"/>
      <c r="B31" s="99">
        <f t="shared" si="3"/>
        <v>24</v>
      </c>
      <c r="C31" s="301"/>
      <c r="D31" s="302"/>
      <c r="E31" s="302"/>
      <c r="F31" s="303"/>
      <c r="G31" s="304"/>
      <c r="H31" s="305"/>
      <c r="I31" s="306"/>
      <c r="J31" s="304"/>
      <c r="K31" s="306"/>
      <c r="L31" s="100"/>
      <c r="M31" s="100"/>
      <c r="N31" s="100"/>
      <c r="O31" s="100"/>
      <c r="P31" s="100"/>
      <c r="Q31" s="100"/>
      <c r="R31" s="100"/>
      <c r="S31" s="100"/>
      <c r="T31" s="100"/>
      <c r="U31" s="301"/>
      <c r="V31" s="302"/>
      <c r="W31" s="302"/>
      <c r="X31" s="303"/>
      <c r="Y31" s="98"/>
      <c r="Z31" s="106">
        <f t="shared" si="0"/>
        <v>0</v>
      </c>
      <c r="AA31" s="105">
        <f t="shared" si="1"/>
        <v>0</v>
      </c>
      <c r="AB31" s="105">
        <f t="shared" si="2"/>
        <v>0</v>
      </c>
    </row>
    <row r="32" spans="1:28" x14ac:dyDescent="0.15">
      <c r="A32" s="101"/>
      <c r="B32" s="99">
        <f t="shared" si="3"/>
        <v>25</v>
      </c>
      <c r="C32" s="301"/>
      <c r="D32" s="302"/>
      <c r="E32" s="302"/>
      <c r="F32" s="303"/>
      <c r="G32" s="304"/>
      <c r="H32" s="305"/>
      <c r="I32" s="306"/>
      <c r="J32" s="304"/>
      <c r="K32" s="306"/>
      <c r="L32" s="100"/>
      <c r="M32" s="100"/>
      <c r="N32" s="100"/>
      <c r="O32" s="100"/>
      <c r="P32" s="100"/>
      <c r="Q32" s="100"/>
      <c r="R32" s="100"/>
      <c r="S32" s="100"/>
      <c r="T32" s="100"/>
      <c r="U32" s="301"/>
      <c r="V32" s="302"/>
      <c r="W32" s="302"/>
      <c r="X32" s="303"/>
      <c r="Y32" s="98"/>
      <c r="Z32" s="106">
        <f t="shared" si="0"/>
        <v>0</v>
      </c>
      <c r="AA32" s="105">
        <f t="shared" si="1"/>
        <v>0</v>
      </c>
      <c r="AB32" s="105">
        <f t="shared" si="2"/>
        <v>0</v>
      </c>
    </row>
    <row r="33" spans="1:28" x14ac:dyDescent="0.15">
      <c r="A33" s="101"/>
      <c r="B33" s="99">
        <f t="shared" si="3"/>
        <v>26</v>
      </c>
      <c r="C33" s="301"/>
      <c r="D33" s="302"/>
      <c r="E33" s="302"/>
      <c r="F33" s="303"/>
      <c r="G33" s="304"/>
      <c r="H33" s="305"/>
      <c r="I33" s="306"/>
      <c r="J33" s="304"/>
      <c r="K33" s="306"/>
      <c r="L33" s="100"/>
      <c r="M33" s="100"/>
      <c r="N33" s="100"/>
      <c r="O33" s="100"/>
      <c r="P33" s="100"/>
      <c r="Q33" s="100"/>
      <c r="R33" s="100"/>
      <c r="S33" s="100"/>
      <c r="T33" s="100"/>
      <c r="U33" s="301"/>
      <c r="V33" s="302"/>
      <c r="W33" s="302"/>
      <c r="X33" s="303"/>
      <c r="Y33" s="98"/>
      <c r="Z33" s="106">
        <f t="shared" si="0"/>
        <v>0</v>
      </c>
      <c r="AA33" s="105">
        <f t="shared" si="1"/>
        <v>0</v>
      </c>
      <c r="AB33" s="105">
        <f t="shared" si="2"/>
        <v>0</v>
      </c>
    </row>
    <row r="34" spans="1:28" x14ac:dyDescent="0.15">
      <c r="A34" s="101"/>
      <c r="B34" s="99">
        <f t="shared" si="3"/>
        <v>27</v>
      </c>
      <c r="C34" s="301"/>
      <c r="D34" s="302"/>
      <c r="E34" s="302"/>
      <c r="F34" s="303"/>
      <c r="G34" s="304"/>
      <c r="H34" s="305"/>
      <c r="I34" s="306"/>
      <c r="J34" s="304"/>
      <c r="K34" s="306"/>
      <c r="L34" s="100"/>
      <c r="M34" s="100"/>
      <c r="N34" s="100"/>
      <c r="O34" s="100"/>
      <c r="P34" s="100"/>
      <c r="Q34" s="100"/>
      <c r="R34" s="100"/>
      <c r="S34" s="100"/>
      <c r="T34" s="100"/>
      <c r="U34" s="301"/>
      <c r="V34" s="302"/>
      <c r="W34" s="302"/>
      <c r="X34" s="303"/>
      <c r="Y34" s="98"/>
      <c r="Z34" s="106">
        <f t="shared" si="0"/>
        <v>0</v>
      </c>
      <c r="AA34" s="105">
        <f t="shared" si="1"/>
        <v>0</v>
      </c>
      <c r="AB34" s="105">
        <f t="shared" si="2"/>
        <v>0</v>
      </c>
    </row>
    <row r="35" spans="1:28" x14ac:dyDescent="0.15">
      <c r="A35" s="101"/>
      <c r="B35" s="99">
        <f t="shared" si="3"/>
        <v>28</v>
      </c>
      <c r="C35" s="301"/>
      <c r="D35" s="302"/>
      <c r="E35" s="302"/>
      <c r="F35" s="303"/>
      <c r="G35" s="304"/>
      <c r="H35" s="305"/>
      <c r="I35" s="306"/>
      <c r="J35" s="304"/>
      <c r="K35" s="306"/>
      <c r="L35" s="100"/>
      <c r="M35" s="100"/>
      <c r="N35" s="100"/>
      <c r="O35" s="100"/>
      <c r="P35" s="100"/>
      <c r="Q35" s="100"/>
      <c r="R35" s="100"/>
      <c r="S35" s="100"/>
      <c r="T35" s="100"/>
      <c r="U35" s="301"/>
      <c r="V35" s="302"/>
      <c r="W35" s="302"/>
      <c r="X35" s="303"/>
      <c r="Y35" s="98"/>
      <c r="Z35" s="106">
        <f t="shared" si="0"/>
        <v>0</v>
      </c>
      <c r="AA35" s="105">
        <f t="shared" si="1"/>
        <v>0</v>
      </c>
      <c r="AB35" s="105">
        <f t="shared" si="2"/>
        <v>0</v>
      </c>
    </row>
    <row r="36" spans="1:28" x14ac:dyDescent="0.15">
      <c r="A36" s="101"/>
      <c r="B36" s="99">
        <f t="shared" si="3"/>
        <v>29</v>
      </c>
      <c r="C36" s="301"/>
      <c r="D36" s="302"/>
      <c r="E36" s="302"/>
      <c r="F36" s="303"/>
      <c r="G36" s="304"/>
      <c r="H36" s="305"/>
      <c r="I36" s="306"/>
      <c r="J36" s="304"/>
      <c r="K36" s="306"/>
      <c r="L36" s="100"/>
      <c r="M36" s="100"/>
      <c r="N36" s="100"/>
      <c r="O36" s="100"/>
      <c r="P36" s="100"/>
      <c r="Q36" s="100"/>
      <c r="R36" s="100"/>
      <c r="S36" s="100"/>
      <c r="T36" s="100"/>
      <c r="U36" s="301"/>
      <c r="V36" s="302"/>
      <c r="W36" s="302"/>
      <c r="X36" s="303"/>
      <c r="Y36" s="98"/>
      <c r="Z36" s="106">
        <f t="shared" si="0"/>
        <v>0</v>
      </c>
      <c r="AA36" s="105">
        <f t="shared" si="1"/>
        <v>0</v>
      </c>
      <c r="AB36" s="105">
        <f t="shared" si="2"/>
        <v>0</v>
      </c>
    </row>
    <row r="37" spans="1:28" x14ac:dyDescent="0.15">
      <c r="A37" s="101"/>
      <c r="B37" s="99">
        <f t="shared" si="3"/>
        <v>30</v>
      </c>
      <c r="C37" s="301"/>
      <c r="D37" s="302"/>
      <c r="E37" s="302"/>
      <c r="F37" s="303"/>
      <c r="G37" s="304"/>
      <c r="H37" s="305"/>
      <c r="I37" s="306"/>
      <c r="J37" s="304"/>
      <c r="K37" s="306"/>
      <c r="L37" s="100"/>
      <c r="M37" s="100"/>
      <c r="N37" s="100"/>
      <c r="O37" s="100"/>
      <c r="P37" s="100"/>
      <c r="Q37" s="100"/>
      <c r="R37" s="100"/>
      <c r="S37" s="100"/>
      <c r="T37" s="100"/>
      <c r="U37" s="301"/>
      <c r="V37" s="302"/>
      <c r="W37" s="302"/>
      <c r="X37" s="303"/>
      <c r="Y37" s="98"/>
      <c r="Z37" s="106">
        <f t="shared" si="0"/>
        <v>0</v>
      </c>
      <c r="AA37" s="105">
        <f t="shared" si="1"/>
        <v>0</v>
      </c>
      <c r="AB37" s="105">
        <f t="shared" si="2"/>
        <v>0</v>
      </c>
    </row>
    <row r="38" spans="1:28" x14ac:dyDescent="0.15">
      <c r="A38" s="101"/>
      <c r="B38" s="298" t="s">
        <v>122</v>
      </c>
      <c r="C38" s="299"/>
      <c r="D38" s="299"/>
      <c r="E38" s="299"/>
      <c r="F38" s="299"/>
      <c r="G38" s="299"/>
      <c r="H38" s="299"/>
      <c r="I38" s="299"/>
      <c r="J38" s="299"/>
      <c r="K38" s="299"/>
      <c r="L38" s="299"/>
      <c r="M38" s="299"/>
      <c r="N38" s="299"/>
      <c r="O38" s="299"/>
      <c r="P38" s="299"/>
      <c r="Q38" s="299"/>
      <c r="R38" s="299"/>
      <c r="S38" s="299"/>
      <c r="T38" s="299"/>
      <c r="U38" s="299"/>
      <c r="V38" s="299"/>
      <c r="W38" s="299"/>
      <c r="X38" s="300"/>
      <c r="Y38" s="98"/>
      <c r="Z38" s="92"/>
    </row>
    <row r="39" spans="1:28" x14ac:dyDescent="0.15">
      <c r="A39" s="101"/>
      <c r="B39" s="101" t="s">
        <v>265</v>
      </c>
      <c r="C39" s="92"/>
      <c r="D39" s="92"/>
      <c r="E39" s="92"/>
      <c r="F39" s="92"/>
      <c r="G39" s="92"/>
      <c r="H39" s="92"/>
      <c r="I39" s="92"/>
      <c r="J39" s="92"/>
      <c r="K39" s="92"/>
      <c r="L39" s="92"/>
      <c r="M39" s="92"/>
      <c r="N39" s="92"/>
      <c r="O39" s="92"/>
      <c r="P39" s="92"/>
      <c r="Q39" s="92"/>
      <c r="R39" s="92"/>
      <c r="S39" s="92"/>
      <c r="T39" s="92"/>
      <c r="U39" s="92"/>
      <c r="V39" s="92"/>
      <c r="W39" s="92"/>
      <c r="X39" s="98"/>
      <c r="Y39" s="98"/>
      <c r="Z39" s="92"/>
    </row>
    <row r="40" spans="1:28" x14ac:dyDescent="0.15">
      <c r="A40" s="101"/>
      <c r="B40" s="101" t="s">
        <v>266</v>
      </c>
      <c r="C40" s="92"/>
      <c r="D40" s="92"/>
      <c r="E40" s="92"/>
      <c r="F40" s="92"/>
      <c r="G40" s="92"/>
      <c r="H40" s="92"/>
      <c r="I40" s="92"/>
      <c r="J40" s="92"/>
      <c r="K40" s="92"/>
      <c r="L40" s="92"/>
      <c r="M40" s="92"/>
      <c r="N40" s="92"/>
      <c r="O40" s="92"/>
      <c r="P40" s="92"/>
      <c r="Q40" s="92"/>
      <c r="R40" s="92"/>
      <c r="S40" s="92"/>
      <c r="T40" s="92"/>
      <c r="U40" s="92"/>
      <c r="V40" s="92"/>
      <c r="W40" s="92"/>
      <c r="X40" s="98"/>
      <c r="Y40" s="98"/>
      <c r="Z40" s="92"/>
    </row>
    <row r="41" spans="1:28" x14ac:dyDescent="0.15">
      <c r="A41" s="101"/>
      <c r="B41" s="101"/>
      <c r="C41" s="92"/>
      <c r="D41" s="92"/>
      <c r="E41" s="92"/>
      <c r="F41" s="92"/>
      <c r="G41" s="92"/>
      <c r="H41" s="92"/>
      <c r="I41" s="92"/>
      <c r="J41" s="92"/>
      <c r="K41" s="92"/>
      <c r="L41" s="92"/>
      <c r="M41" s="92"/>
      <c r="N41" s="92"/>
      <c r="O41" s="92"/>
      <c r="P41" s="92"/>
      <c r="Q41" s="92"/>
      <c r="R41" s="92"/>
      <c r="S41" s="92"/>
      <c r="T41" s="92"/>
      <c r="U41" s="92"/>
      <c r="V41" s="92"/>
      <c r="W41" s="92"/>
      <c r="X41" s="98"/>
      <c r="Y41" s="98"/>
      <c r="Z41" s="92"/>
    </row>
    <row r="42" spans="1:28" x14ac:dyDescent="0.15">
      <c r="A42" s="101"/>
      <c r="B42" s="102"/>
      <c r="C42" s="93"/>
      <c r="D42" s="93"/>
      <c r="E42" s="93"/>
      <c r="F42" s="93"/>
      <c r="G42" s="93"/>
      <c r="H42" s="93"/>
      <c r="I42" s="93"/>
      <c r="J42" s="93"/>
      <c r="K42" s="93"/>
      <c r="L42" s="93"/>
      <c r="M42" s="93"/>
      <c r="N42" s="93"/>
      <c r="O42" s="93"/>
      <c r="P42" s="93"/>
      <c r="Q42" s="93"/>
      <c r="R42" s="93"/>
      <c r="S42" s="93"/>
      <c r="T42" s="93"/>
      <c r="U42" s="93"/>
      <c r="V42" s="93"/>
      <c r="W42" s="93"/>
      <c r="X42" s="103"/>
      <c r="Y42" s="98"/>
      <c r="Z42" s="92"/>
    </row>
    <row r="43" spans="1:28" x14ac:dyDescent="0.15">
      <c r="A43" s="102"/>
      <c r="B43" s="93"/>
      <c r="C43" s="93"/>
      <c r="D43" s="93"/>
      <c r="E43" s="93"/>
      <c r="F43" s="93"/>
      <c r="G43" s="93"/>
      <c r="H43" s="93"/>
      <c r="I43" s="93"/>
      <c r="J43" s="93"/>
      <c r="K43" s="93"/>
      <c r="L43" s="93"/>
      <c r="M43" s="93"/>
      <c r="N43" s="93"/>
      <c r="O43" s="93"/>
      <c r="P43" s="93"/>
      <c r="Q43" s="93"/>
      <c r="R43" s="93"/>
      <c r="S43" s="93"/>
      <c r="T43" s="93"/>
      <c r="U43" s="93"/>
      <c r="V43" s="93"/>
      <c r="W43" s="93"/>
      <c r="X43" s="93"/>
      <c r="Y43" s="103"/>
      <c r="Z43" s="92"/>
    </row>
  </sheetData>
  <mergeCells count="135">
    <mergeCell ref="W2:Y3"/>
    <mergeCell ref="A3:B3"/>
    <mergeCell ref="G3:I3"/>
    <mergeCell ref="C7:F7"/>
    <mergeCell ref="G7:I7"/>
    <mergeCell ref="J7:K7"/>
    <mergeCell ref="U7:X7"/>
    <mergeCell ref="A1:F2"/>
    <mergeCell ref="G1:I1"/>
    <mergeCell ref="P1:Q1"/>
    <mergeCell ref="R1:T1"/>
    <mergeCell ref="U1:V1"/>
    <mergeCell ref="W1:Y1"/>
    <mergeCell ref="G2:I2"/>
    <mergeCell ref="P2:Q3"/>
    <mergeCell ref="R2:T3"/>
    <mergeCell ref="U2:V3"/>
    <mergeCell ref="C10:F10"/>
    <mergeCell ref="G10:I10"/>
    <mergeCell ref="J10:K10"/>
    <mergeCell ref="U10:X10"/>
    <mergeCell ref="C11:F11"/>
    <mergeCell ref="G11:I11"/>
    <mergeCell ref="J11:K11"/>
    <mergeCell ref="U11:X11"/>
    <mergeCell ref="C8:F8"/>
    <mergeCell ref="G8:I8"/>
    <mergeCell ref="J8:K8"/>
    <mergeCell ref="U8:X8"/>
    <mergeCell ref="C9:F9"/>
    <mergeCell ref="G9:I9"/>
    <mergeCell ref="J9:K9"/>
    <mergeCell ref="U9:X9"/>
    <mergeCell ref="G14:I14"/>
    <mergeCell ref="J14:K14"/>
    <mergeCell ref="U14:X14"/>
    <mergeCell ref="C15:F15"/>
    <mergeCell ref="G15:I15"/>
    <mergeCell ref="J15:K15"/>
    <mergeCell ref="U15:X15"/>
    <mergeCell ref="C12:F12"/>
    <mergeCell ref="G12:I12"/>
    <mergeCell ref="J12:K12"/>
    <mergeCell ref="U12:X12"/>
    <mergeCell ref="C13:F13"/>
    <mergeCell ref="G13:I13"/>
    <mergeCell ref="J13:K13"/>
    <mergeCell ref="U13:X13"/>
    <mergeCell ref="C18:F18"/>
    <mergeCell ref="G18:I18"/>
    <mergeCell ref="J18:K18"/>
    <mergeCell ref="U18:X18"/>
    <mergeCell ref="C19:F19"/>
    <mergeCell ref="G19:I19"/>
    <mergeCell ref="J19:K19"/>
    <mergeCell ref="U19:X19"/>
    <mergeCell ref="C16:F16"/>
    <mergeCell ref="G16:I16"/>
    <mergeCell ref="J16:K16"/>
    <mergeCell ref="U16:X16"/>
    <mergeCell ref="C17:F17"/>
    <mergeCell ref="G17:I17"/>
    <mergeCell ref="J17:K17"/>
    <mergeCell ref="U17:X17"/>
    <mergeCell ref="C22:F22"/>
    <mergeCell ref="G22:I22"/>
    <mergeCell ref="J22:K22"/>
    <mergeCell ref="U22:X22"/>
    <mergeCell ref="C23:F23"/>
    <mergeCell ref="G23:I23"/>
    <mergeCell ref="J23:K23"/>
    <mergeCell ref="U23:X23"/>
    <mergeCell ref="C20:F20"/>
    <mergeCell ref="G20:I20"/>
    <mergeCell ref="J20:K20"/>
    <mergeCell ref="U20:X20"/>
    <mergeCell ref="G21:I21"/>
    <mergeCell ref="J21:K21"/>
    <mergeCell ref="U21:X21"/>
    <mergeCell ref="G26:I26"/>
    <mergeCell ref="J26:K26"/>
    <mergeCell ref="U26:X26"/>
    <mergeCell ref="C27:F27"/>
    <mergeCell ref="G27:I27"/>
    <mergeCell ref="J27:K27"/>
    <mergeCell ref="U27:X27"/>
    <mergeCell ref="C24:F24"/>
    <mergeCell ref="G24:I24"/>
    <mergeCell ref="J24:K24"/>
    <mergeCell ref="U24:X24"/>
    <mergeCell ref="C25:F25"/>
    <mergeCell ref="G25:I25"/>
    <mergeCell ref="J25:K25"/>
    <mergeCell ref="U25:X25"/>
    <mergeCell ref="C30:F30"/>
    <mergeCell ref="G30:I30"/>
    <mergeCell ref="J30:K30"/>
    <mergeCell ref="U30:X30"/>
    <mergeCell ref="C31:F31"/>
    <mergeCell ref="G31:I31"/>
    <mergeCell ref="J31:K31"/>
    <mergeCell ref="U31:X31"/>
    <mergeCell ref="C28:F28"/>
    <mergeCell ref="G28:I28"/>
    <mergeCell ref="J28:K28"/>
    <mergeCell ref="U28:X28"/>
    <mergeCell ref="C29:F29"/>
    <mergeCell ref="G29:I29"/>
    <mergeCell ref="J29:K29"/>
    <mergeCell ref="U29:X29"/>
    <mergeCell ref="C34:F34"/>
    <mergeCell ref="G34:I34"/>
    <mergeCell ref="J34:K34"/>
    <mergeCell ref="U34:X34"/>
    <mergeCell ref="C35:F35"/>
    <mergeCell ref="G35:I35"/>
    <mergeCell ref="J35:K35"/>
    <mergeCell ref="U35:X35"/>
    <mergeCell ref="C32:F32"/>
    <mergeCell ref="G32:I32"/>
    <mergeCell ref="J32:K32"/>
    <mergeCell ref="U32:X32"/>
    <mergeCell ref="C33:F33"/>
    <mergeCell ref="G33:I33"/>
    <mergeCell ref="J33:K33"/>
    <mergeCell ref="U33:X33"/>
    <mergeCell ref="B38:X38"/>
    <mergeCell ref="C36:F36"/>
    <mergeCell ref="G36:I36"/>
    <mergeCell ref="J36:K36"/>
    <mergeCell ref="U36:X36"/>
    <mergeCell ref="C37:F37"/>
    <mergeCell ref="G37:I37"/>
    <mergeCell ref="J37:K37"/>
    <mergeCell ref="U37:X37"/>
  </mergeCells>
  <phoneticPr fontId="1"/>
  <conditionalFormatting sqref="J8:K8">
    <cfRule type="expression" dxfId="251" priority="70">
      <formula>ISERROR(AB8)</formula>
    </cfRule>
    <cfRule type="expression" dxfId="250" priority="71">
      <formula>ISBLANK(AB8)</formula>
    </cfRule>
    <cfRule type="expression" dxfId="249" priority="72">
      <formula>AND(J8&lt;&gt;"",AB8&lt;=0)</formula>
    </cfRule>
  </conditionalFormatting>
  <conditionalFormatting sqref="J31:K37">
    <cfRule type="expression" dxfId="248" priority="73">
      <formula>ISERROR(AB31)</formula>
    </cfRule>
    <cfRule type="expression" dxfId="247" priority="74">
      <formula>ISBLANK(AB31)</formula>
    </cfRule>
    <cfRule type="expression" dxfId="246" priority="75">
      <formula>AND(J31&lt;&gt;"",AB31&lt;=0)</formula>
    </cfRule>
  </conditionalFormatting>
  <conditionalFormatting sqref="J19:K19">
    <cfRule type="expression" dxfId="245" priority="67">
      <formula>ISERROR(AB19)</formula>
    </cfRule>
    <cfRule type="expression" dxfId="244" priority="68">
      <formula>ISBLANK(AB19)</formula>
    </cfRule>
    <cfRule type="expression" dxfId="243" priority="69">
      <formula>AND(J19&lt;&gt;"",AB19&lt;=0)</formula>
    </cfRule>
  </conditionalFormatting>
  <conditionalFormatting sqref="J20:K20">
    <cfRule type="expression" dxfId="242" priority="64">
      <formula>ISERROR(AB20)</formula>
    </cfRule>
    <cfRule type="expression" dxfId="241" priority="65">
      <formula>ISBLANK(AB20)</formula>
    </cfRule>
    <cfRule type="expression" dxfId="240" priority="66">
      <formula>AND(J20&lt;&gt;"",AB20&lt;=0)</formula>
    </cfRule>
  </conditionalFormatting>
  <conditionalFormatting sqref="J21:K21">
    <cfRule type="expression" dxfId="239" priority="61">
      <formula>ISERROR(AB21)</formula>
    </cfRule>
    <cfRule type="expression" dxfId="238" priority="62">
      <formula>ISBLANK(AB21)</formula>
    </cfRule>
    <cfRule type="expression" dxfId="237" priority="63">
      <formula>AND(J21&lt;&gt;"",AB21&lt;=0)</formula>
    </cfRule>
  </conditionalFormatting>
  <conditionalFormatting sqref="J24:K24">
    <cfRule type="expression" dxfId="236" priority="58">
      <formula>ISERROR(AB24)</formula>
    </cfRule>
    <cfRule type="expression" dxfId="235" priority="59">
      <formula>ISBLANK(AB24)</formula>
    </cfRule>
    <cfRule type="expression" dxfId="234" priority="60">
      <formula>AND(J24&lt;&gt;"",AB24&lt;=0)</formula>
    </cfRule>
  </conditionalFormatting>
  <conditionalFormatting sqref="J25:K25">
    <cfRule type="expression" dxfId="233" priority="49">
      <formula>ISERROR(AB25)</formula>
    </cfRule>
    <cfRule type="expression" dxfId="232" priority="50">
      <formula>ISBLANK(AB25)</formula>
    </cfRule>
    <cfRule type="expression" dxfId="231" priority="51">
      <formula>AND(J25&lt;&gt;"",AB25&lt;=0)</formula>
    </cfRule>
  </conditionalFormatting>
  <conditionalFormatting sqref="J30:K30">
    <cfRule type="expression" dxfId="230" priority="34">
      <formula>ISERROR(AB30)</formula>
    </cfRule>
    <cfRule type="expression" dxfId="229" priority="35">
      <formula>ISBLANK(AB30)</formula>
    </cfRule>
    <cfRule type="expression" dxfId="228" priority="36">
      <formula>AND(J30&lt;&gt;"",AB30&lt;=0)</formula>
    </cfRule>
  </conditionalFormatting>
  <conditionalFormatting sqref="J22:K22">
    <cfRule type="expression" dxfId="227" priority="55">
      <formula>ISERROR(AB22)</formula>
    </cfRule>
    <cfRule type="expression" dxfId="226" priority="56">
      <formula>ISBLANK(AB22)</formula>
    </cfRule>
    <cfRule type="expression" dxfId="225" priority="57">
      <formula>AND(J22&lt;&gt;"",AB22&lt;=0)</formula>
    </cfRule>
  </conditionalFormatting>
  <conditionalFormatting sqref="J23:K23">
    <cfRule type="expression" dxfId="224" priority="52">
      <formula>ISERROR(AB23)</formula>
    </cfRule>
    <cfRule type="expression" dxfId="223" priority="53">
      <formula>ISBLANK(AB23)</formula>
    </cfRule>
    <cfRule type="expression" dxfId="222" priority="54">
      <formula>AND(J23&lt;&gt;"",AB23&lt;=0)</formula>
    </cfRule>
  </conditionalFormatting>
  <conditionalFormatting sqref="J26:K26">
    <cfRule type="expression" dxfId="221" priority="46">
      <formula>ISERROR(AB26)</formula>
    </cfRule>
    <cfRule type="expression" dxfId="220" priority="47">
      <formula>ISBLANK(AB26)</formula>
    </cfRule>
    <cfRule type="expression" dxfId="219" priority="48">
      <formula>AND(J26&lt;&gt;"",AB26&lt;=0)</formula>
    </cfRule>
  </conditionalFormatting>
  <conditionalFormatting sqref="J27:K27">
    <cfRule type="expression" dxfId="218" priority="43">
      <formula>ISERROR(AB27)</formula>
    </cfRule>
    <cfRule type="expression" dxfId="217" priority="44">
      <formula>ISBLANK(AB27)</formula>
    </cfRule>
    <cfRule type="expression" dxfId="216" priority="45">
      <formula>AND(J27&lt;&gt;"",AB27&lt;=0)</formula>
    </cfRule>
  </conditionalFormatting>
  <conditionalFormatting sqref="J28:K28">
    <cfRule type="expression" dxfId="215" priority="40">
      <formula>ISERROR(AB28)</formula>
    </cfRule>
    <cfRule type="expression" dxfId="214" priority="41">
      <formula>ISBLANK(AB28)</formula>
    </cfRule>
    <cfRule type="expression" dxfId="213" priority="42">
      <formula>AND(J28&lt;&gt;"",AB28&lt;=0)</formula>
    </cfRule>
  </conditionalFormatting>
  <conditionalFormatting sqref="J29:K29">
    <cfRule type="expression" dxfId="212" priority="37">
      <formula>ISERROR(AB29)</formula>
    </cfRule>
    <cfRule type="expression" dxfId="211" priority="38">
      <formula>ISBLANK(AB29)</formula>
    </cfRule>
    <cfRule type="expression" dxfId="210" priority="39">
      <formula>AND(J29&lt;&gt;"",AB29&lt;=0)</formula>
    </cfRule>
  </conditionalFormatting>
  <conditionalFormatting sqref="J12:K12">
    <cfRule type="expression" dxfId="209" priority="28">
      <formula>ISERROR(AB12)</formula>
    </cfRule>
    <cfRule type="expression" dxfId="208" priority="29">
      <formula>ISBLANK(AB12)</formula>
    </cfRule>
    <cfRule type="expression" dxfId="207" priority="30">
      <formula>AND(J12&lt;&gt;"",AB12&lt;=0)</formula>
    </cfRule>
  </conditionalFormatting>
  <conditionalFormatting sqref="J13:K13">
    <cfRule type="expression" dxfId="206" priority="19">
      <formula>ISERROR(AB13)</formula>
    </cfRule>
    <cfRule type="expression" dxfId="205" priority="20">
      <formula>ISBLANK(AB13)</formula>
    </cfRule>
    <cfRule type="expression" dxfId="204" priority="21">
      <formula>AND(J13&lt;&gt;"",AB13&lt;=0)</formula>
    </cfRule>
  </conditionalFormatting>
  <conditionalFormatting sqref="J18:K18">
    <cfRule type="expression" dxfId="203" priority="4">
      <formula>ISERROR(AB18)</formula>
    </cfRule>
    <cfRule type="expression" dxfId="202" priority="5">
      <formula>ISBLANK(AB18)</formula>
    </cfRule>
    <cfRule type="expression" dxfId="201" priority="6">
      <formula>AND(J18&lt;&gt;"",AB18&lt;=0)</formula>
    </cfRule>
  </conditionalFormatting>
  <conditionalFormatting sqref="J10:K10">
    <cfRule type="expression" dxfId="200" priority="25">
      <formula>ISERROR(AB10)</formula>
    </cfRule>
    <cfRule type="expression" dxfId="199" priority="26">
      <formula>ISBLANK(AB10)</formula>
    </cfRule>
    <cfRule type="expression" dxfId="198" priority="27">
      <formula>AND(J10&lt;&gt;"",AB10&lt;=0)</formula>
    </cfRule>
  </conditionalFormatting>
  <conditionalFormatting sqref="J11:K11">
    <cfRule type="expression" dxfId="197" priority="22">
      <formula>ISERROR(AB11)</formula>
    </cfRule>
    <cfRule type="expression" dxfId="196" priority="23">
      <formula>ISBLANK(AB11)</formula>
    </cfRule>
    <cfRule type="expression" dxfId="195" priority="24">
      <formula>AND(J11&lt;&gt;"",AB11&lt;=0)</formula>
    </cfRule>
  </conditionalFormatting>
  <conditionalFormatting sqref="J14:K14">
    <cfRule type="expression" dxfId="194" priority="16">
      <formula>ISERROR(AB14)</formula>
    </cfRule>
    <cfRule type="expression" dxfId="193" priority="17">
      <formula>ISBLANK(AB14)</formula>
    </cfRule>
    <cfRule type="expression" dxfId="192" priority="18">
      <formula>AND(J14&lt;&gt;"",AB14&lt;=0)</formula>
    </cfRule>
  </conditionalFormatting>
  <conditionalFormatting sqref="J15:K15">
    <cfRule type="expression" dxfId="191" priority="13">
      <formula>ISERROR(AB15)</formula>
    </cfRule>
    <cfRule type="expression" dxfId="190" priority="14">
      <formula>ISBLANK(AB15)</formula>
    </cfRule>
    <cfRule type="expression" dxfId="189" priority="15">
      <formula>AND(J15&lt;&gt;"",AB15&lt;=0)</formula>
    </cfRule>
  </conditionalFormatting>
  <conditionalFormatting sqref="J16:K16">
    <cfRule type="expression" dxfId="188" priority="10">
      <formula>ISERROR(AB16)</formula>
    </cfRule>
    <cfRule type="expression" dxfId="187" priority="11">
      <formula>ISBLANK(AB16)</formula>
    </cfRule>
    <cfRule type="expression" dxfId="186" priority="12">
      <formula>AND(J16&lt;&gt;"",AB16&lt;=0)</formula>
    </cfRule>
  </conditionalFormatting>
  <conditionalFormatting sqref="J17:K17">
    <cfRule type="expression" dxfId="185" priority="7">
      <formula>ISERROR(AB17)</formula>
    </cfRule>
    <cfRule type="expression" dxfId="184" priority="8">
      <formula>ISBLANK(AB17)</formula>
    </cfRule>
    <cfRule type="expression" dxfId="183" priority="9">
      <formula>AND(J17&lt;&gt;"",AB17&lt;=0)</formula>
    </cfRule>
  </conditionalFormatting>
  <conditionalFormatting sqref="J9:K9">
    <cfRule type="expression" dxfId="182" priority="1">
      <formula>ISERROR(AB9)</formula>
    </cfRule>
    <cfRule type="expression" dxfId="181" priority="2">
      <formula>ISBLANK(AB9)</formula>
    </cfRule>
    <cfRule type="expression" dxfId="180" priority="3">
      <formula>AND(J9&lt;&gt;"",AB9&lt;=0)</formula>
    </cfRule>
  </conditionalFormatting>
  <printOptions horizontalCentered="1"/>
  <pageMargins left="0.23622047244094491" right="0.23622047244094491" top="0.39370078740157483" bottom="0.39370078740157483" header="0" footer="0"/>
  <pageSetup paperSize="9" fitToHeight="0" orientation="landscape" r:id="rId1"/>
  <headerFooter alignWithMargins="0">
    <oddFooter>&amp;L&amp;F&amp;R&amp;P / &amp;N</oddFooter>
  </headerFooter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06F482-A400-40B6-BE58-55923D980DC0}">
  <sheetPr codeName="Sheet36"/>
  <dimension ref="A1:AE43"/>
  <sheetViews>
    <sheetView showGridLines="0" view="pageBreakPreview" zoomScale="90" zoomScaleNormal="85" zoomScaleSheetLayoutView="90" workbookViewId="0">
      <selection activeCell="L24" sqref="L24"/>
    </sheetView>
  </sheetViews>
  <sheetFormatPr defaultColWidth="5.625" defaultRowHeight="13.5" x14ac:dyDescent="0.15"/>
  <cols>
    <col min="1" max="16" width="5.625" style="12" customWidth="1"/>
    <col min="17" max="25" width="5.625" style="12"/>
    <col min="26" max="26" width="12.75" style="96" bestFit="1" customWidth="1"/>
    <col min="27" max="27" width="12.75" style="12" bestFit="1" customWidth="1"/>
    <col min="28" max="28" width="18.375" style="12" bestFit="1" customWidth="1"/>
    <col min="29" max="238" width="5.625" style="12"/>
    <col min="239" max="254" width="5.625" style="12" customWidth="1"/>
    <col min="255" max="494" width="5.625" style="12"/>
    <col min="495" max="510" width="5.625" style="12" customWidth="1"/>
    <col min="511" max="750" width="5.625" style="12"/>
    <col min="751" max="766" width="5.625" style="12" customWidth="1"/>
    <col min="767" max="1006" width="5.625" style="12"/>
    <col min="1007" max="1022" width="5.625" style="12" customWidth="1"/>
    <col min="1023" max="1262" width="5.625" style="12"/>
    <col min="1263" max="1278" width="5.625" style="12" customWidth="1"/>
    <col min="1279" max="1518" width="5.625" style="12"/>
    <col min="1519" max="1534" width="5.625" style="12" customWidth="1"/>
    <col min="1535" max="1774" width="5.625" style="12"/>
    <col min="1775" max="1790" width="5.625" style="12" customWidth="1"/>
    <col min="1791" max="2030" width="5.625" style="12"/>
    <col min="2031" max="2046" width="5.625" style="12" customWidth="1"/>
    <col min="2047" max="2286" width="5.625" style="12"/>
    <col min="2287" max="2302" width="5.625" style="12" customWidth="1"/>
    <col min="2303" max="2542" width="5.625" style="12"/>
    <col min="2543" max="2558" width="5.625" style="12" customWidth="1"/>
    <col min="2559" max="2798" width="5.625" style="12"/>
    <col min="2799" max="2814" width="5.625" style="12" customWidth="1"/>
    <col min="2815" max="3054" width="5.625" style="12"/>
    <col min="3055" max="3070" width="5.625" style="12" customWidth="1"/>
    <col min="3071" max="3310" width="5.625" style="12"/>
    <col min="3311" max="3326" width="5.625" style="12" customWidth="1"/>
    <col min="3327" max="3566" width="5.625" style="12"/>
    <col min="3567" max="3582" width="5.625" style="12" customWidth="1"/>
    <col min="3583" max="3822" width="5.625" style="12"/>
    <col min="3823" max="3838" width="5.625" style="12" customWidth="1"/>
    <col min="3839" max="4078" width="5.625" style="12"/>
    <col min="4079" max="4094" width="5.625" style="12" customWidth="1"/>
    <col min="4095" max="4334" width="5.625" style="12"/>
    <col min="4335" max="4350" width="5.625" style="12" customWidth="1"/>
    <col min="4351" max="4590" width="5.625" style="12"/>
    <col min="4591" max="4606" width="5.625" style="12" customWidth="1"/>
    <col min="4607" max="4846" width="5.625" style="12"/>
    <col min="4847" max="4862" width="5.625" style="12" customWidth="1"/>
    <col min="4863" max="5102" width="5.625" style="12"/>
    <col min="5103" max="5118" width="5.625" style="12" customWidth="1"/>
    <col min="5119" max="5358" width="5.625" style="12"/>
    <col min="5359" max="5374" width="5.625" style="12" customWidth="1"/>
    <col min="5375" max="5614" width="5.625" style="12"/>
    <col min="5615" max="5630" width="5.625" style="12" customWidth="1"/>
    <col min="5631" max="5870" width="5.625" style="12"/>
    <col min="5871" max="5886" width="5.625" style="12" customWidth="1"/>
    <col min="5887" max="6126" width="5.625" style="12"/>
    <col min="6127" max="6142" width="5.625" style="12" customWidth="1"/>
    <col min="6143" max="6382" width="5.625" style="12"/>
    <col min="6383" max="6398" width="5.625" style="12" customWidth="1"/>
    <col min="6399" max="6638" width="5.625" style="12"/>
    <col min="6639" max="6654" width="5.625" style="12" customWidth="1"/>
    <col min="6655" max="6894" width="5.625" style="12"/>
    <col min="6895" max="6910" width="5.625" style="12" customWidth="1"/>
    <col min="6911" max="7150" width="5.625" style="12"/>
    <col min="7151" max="7166" width="5.625" style="12" customWidth="1"/>
    <col min="7167" max="7406" width="5.625" style="12"/>
    <col min="7407" max="7422" width="5.625" style="12" customWidth="1"/>
    <col min="7423" max="7662" width="5.625" style="12"/>
    <col min="7663" max="7678" width="5.625" style="12" customWidth="1"/>
    <col min="7679" max="7918" width="5.625" style="12"/>
    <col min="7919" max="7934" width="5.625" style="12" customWidth="1"/>
    <col min="7935" max="8174" width="5.625" style="12"/>
    <col min="8175" max="8190" width="5.625" style="12" customWidth="1"/>
    <col min="8191" max="8430" width="5.625" style="12"/>
    <col min="8431" max="8446" width="5.625" style="12" customWidth="1"/>
    <col min="8447" max="8686" width="5.625" style="12"/>
    <col min="8687" max="8702" width="5.625" style="12" customWidth="1"/>
    <col min="8703" max="8942" width="5.625" style="12"/>
    <col min="8943" max="8958" width="5.625" style="12" customWidth="1"/>
    <col min="8959" max="9198" width="5.625" style="12"/>
    <col min="9199" max="9214" width="5.625" style="12" customWidth="1"/>
    <col min="9215" max="9454" width="5.625" style="12"/>
    <col min="9455" max="9470" width="5.625" style="12" customWidth="1"/>
    <col min="9471" max="9710" width="5.625" style="12"/>
    <col min="9711" max="9726" width="5.625" style="12" customWidth="1"/>
    <col min="9727" max="9966" width="5.625" style="12"/>
    <col min="9967" max="9982" width="5.625" style="12" customWidth="1"/>
    <col min="9983" max="10222" width="5.625" style="12"/>
    <col min="10223" max="10238" width="5.625" style="12" customWidth="1"/>
    <col min="10239" max="10478" width="5.625" style="12"/>
    <col min="10479" max="10494" width="5.625" style="12" customWidth="1"/>
    <col min="10495" max="10734" width="5.625" style="12"/>
    <col min="10735" max="10750" width="5.625" style="12" customWidth="1"/>
    <col min="10751" max="10990" width="5.625" style="12"/>
    <col min="10991" max="11006" width="5.625" style="12" customWidth="1"/>
    <col min="11007" max="11246" width="5.625" style="12"/>
    <col min="11247" max="11262" width="5.625" style="12" customWidth="1"/>
    <col min="11263" max="11502" width="5.625" style="12"/>
    <col min="11503" max="11518" width="5.625" style="12" customWidth="1"/>
    <col min="11519" max="11758" width="5.625" style="12"/>
    <col min="11759" max="11774" width="5.625" style="12" customWidth="1"/>
    <col min="11775" max="12014" width="5.625" style="12"/>
    <col min="12015" max="12030" width="5.625" style="12" customWidth="1"/>
    <col min="12031" max="12270" width="5.625" style="12"/>
    <col min="12271" max="12286" width="5.625" style="12" customWidth="1"/>
    <col min="12287" max="12526" width="5.625" style="12"/>
    <col min="12527" max="12542" width="5.625" style="12" customWidth="1"/>
    <col min="12543" max="12782" width="5.625" style="12"/>
    <col min="12783" max="12798" width="5.625" style="12" customWidth="1"/>
    <col min="12799" max="13038" width="5.625" style="12"/>
    <col min="13039" max="13054" width="5.625" style="12" customWidth="1"/>
    <col min="13055" max="13294" width="5.625" style="12"/>
    <col min="13295" max="13310" width="5.625" style="12" customWidth="1"/>
    <col min="13311" max="13550" width="5.625" style="12"/>
    <col min="13551" max="13566" width="5.625" style="12" customWidth="1"/>
    <col min="13567" max="13806" width="5.625" style="12"/>
    <col min="13807" max="13822" width="5.625" style="12" customWidth="1"/>
    <col min="13823" max="14062" width="5.625" style="12"/>
    <col min="14063" max="14078" width="5.625" style="12" customWidth="1"/>
    <col min="14079" max="14318" width="5.625" style="12"/>
    <col min="14319" max="14334" width="5.625" style="12" customWidth="1"/>
    <col min="14335" max="14574" width="5.625" style="12"/>
    <col min="14575" max="14590" width="5.625" style="12" customWidth="1"/>
    <col min="14591" max="14830" width="5.625" style="12"/>
    <col min="14831" max="14846" width="5.625" style="12" customWidth="1"/>
    <col min="14847" max="15086" width="5.625" style="12"/>
    <col min="15087" max="15102" width="5.625" style="12" customWidth="1"/>
    <col min="15103" max="15342" width="5.625" style="12"/>
    <col min="15343" max="15358" width="5.625" style="12" customWidth="1"/>
    <col min="15359" max="15598" width="5.625" style="12"/>
    <col min="15599" max="15614" width="5.625" style="12" customWidth="1"/>
    <col min="15615" max="15854" width="5.625" style="12"/>
    <col min="15855" max="15870" width="5.625" style="12" customWidth="1"/>
    <col min="15871" max="16110" width="5.625" style="12"/>
    <col min="16111" max="16126" width="5.625" style="12" customWidth="1"/>
    <col min="16127" max="16384" width="5.625" style="12"/>
  </cols>
  <sheetData>
    <row r="1" spans="1:31" ht="13.5" customHeight="1" x14ac:dyDescent="0.15">
      <c r="A1" s="260" t="s">
        <v>81</v>
      </c>
      <c r="B1" s="261"/>
      <c r="C1" s="261"/>
      <c r="D1" s="261"/>
      <c r="E1" s="261"/>
      <c r="F1" s="262"/>
      <c r="G1" s="311" t="s">
        <v>5</v>
      </c>
      <c r="H1" s="312"/>
      <c r="I1" s="313"/>
      <c r="J1" s="21"/>
      <c r="K1" s="94"/>
      <c r="L1" s="94"/>
      <c r="M1" s="94"/>
      <c r="N1" s="94"/>
      <c r="O1" s="94"/>
      <c r="P1" s="311" t="s">
        <v>8</v>
      </c>
      <c r="Q1" s="313"/>
      <c r="R1" s="311" t="s">
        <v>7</v>
      </c>
      <c r="S1" s="312"/>
      <c r="T1" s="313"/>
      <c r="U1" s="311" t="s">
        <v>9</v>
      </c>
      <c r="V1" s="313"/>
      <c r="W1" s="311" t="s">
        <v>10</v>
      </c>
      <c r="X1" s="312"/>
      <c r="Y1" s="313"/>
      <c r="Z1" s="107"/>
      <c r="AA1" s="12" t="s">
        <v>128</v>
      </c>
      <c r="AE1" s="12" t="s">
        <v>124</v>
      </c>
    </row>
    <row r="2" spans="1:31" ht="13.5" customHeight="1" x14ac:dyDescent="0.15">
      <c r="A2" s="266"/>
      <c r="B2" s="267"/>
      <c r="C2" s="267"/>
      <c r="D2" s="267"/>
      <c r="E2" s="267"/>
      <c r="F2" s="268"/>
      <c r="G2" s="311" t="s">
        <v>6</v>
      </c>
      <c r="H2" s="312"/>
      <c r="I2" s="313"/>
      <c r="J2" s="21"/>
      <c r="K2" s="95"/>
      <c r="L2" s="95"/>
      <c r="M2" s="95"/>
      <c r="N2" s="95"/>
      <c r="O2" s="95"/>
      <c r="P2" s="246"/>
      <c r="Q2" s="247"/>
      <c r="R2" s="273"/>
      <c r="S2" s="274"/>
      <c r="T2" s="275"/>
      <c r="U2" s="246"/>
      <c r="V2" s="247"/>
      <c r="W2" s="273"/>
      <c r="X2" s="274"/>
      <c r="Y2" s="275"/>
      <c r="Z2" s="107"/>
      <c r="AA2" s="12">
        <f>SUM(AB:AB)</f>
        <v>20</v>
      </c>
    </row>
    <row r="3" spans="1:31" ht="13.5" customHeight="1" x14ac:dyDescent="0.15">
      <c r="A3" s="311" t="s">
        <v>82</v>
      </c>
      <c r="B3" s="312"/>
      <c r="C3" s="21" t="str">
        <f ca="1">RIGHT(CELL("filename",A2),LEN(CELL("filename",A2))-FIND("]",CELL("filename",A2)))</f>
        <v>教師ﾃﾞｰﾀ</v>
      </c>
      <c r="D3" s="95"/>
      <c r="E3" s="95"/>
      <c r="F3" s="95"/>
      <c r="G3" s="311" t="s">
        <v>83</v>
      </c>
      <c r="H3" s="312"/>
      <c r="I3" s="313"/>
      <c r="J3" s="21" t="s">
        <v>241</v>
      </c>
      <c r="K3" s="95"/>
      <c r="L3" s="95"/>
      <c r="M3" s="95"/>
      <c r="N3" s="95"/>
      <c r="O3" s="95"/>
      <c r="P3" s="248"/>
      <c r="Q3" s="249"/>
      <c r="R3" s="276"/>
      <c r="S3" s="277"/>
      <c r="T3" s="278"/>
      <c r="U3" s="248"/>
      <c r="V3" s="249"/>
      <c r="W3" s="276"/>
      <c r="X3" s="277"/>
      <c r="Y3" s="278"/>
      <c r="Z3" s="107"/>
    </row>
    <row r="4" spans="1:31" x14ac:dyDescent="0.15">
      <c r="A4" s="86"/>
      <c r="B4" s="18"/>
      <c r="C4" s="18"/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  <c r="O4" s="18"/>
      <c r="P4" s="18"/>
      <c r="Q4" s="18"/>
      <c r="R4" s="18"/>
      <c r="S4" s="18"/>
      <c r="T4" s="18"/>
      <c r="U4" s="18"/>
      <c r="V4" s="18"/>
      <c r="W4" s="18"/>
      <c r="X4" s="18"/>
      <c r="Y4" s="18"/>
      <c r="Z4" s="92"/>
    </row>
    <row r="5" spans="1:31" ht="13.5" customHeight="1" x14ac:dyDescent="0.15">
      <c r="A5" s="83" t="s">
        <v>93</v>
      </c>
      <c r="B5" s="84"/>
      <c r="C5" s="84"/>
      <c r="D5" s="84"/>
      <c r="E5" s="84"/>
      <c r="F5" s="84"/>
      <c r="G5" s="84"/>
      <c r="H5" s="84"/>
      <c r="I5" s="84"/>
      <c r="J5" s="84"/>
      <c r="K5" s="84"/>
      <c r="L5" s="84"/>
      <c r="M5" s="84"/>
      <c r="N5" s="84"/>
      <c r="O5" s="84"/>
      <c r="P5" s="84"/>
      <c r="Q5" s="84"/>
      <c r="R5" s="84"/>
      <c r="S5" s="84"/>
      <c r="T5" s="84"/>
      <c r="U5" s="84"/>
      <c r="V5" s="84"/>
      <c r="W5" s="84"/>
      <c r="X5" s="84"/>
      <c r="Y5" s="85"/>
      <c r="Z5" s="92"/>
    </row>
    <row r="6" spans="1:31" x14ac:dyDescent="0.15">
      <c r="A6" s="164"/>
      <c r="B6" s="165"/>
      <c r="C6" s="165"/>
      <c r="D6" s="165"/>
      <c r="E6" s="165"/>
      <c r="F6" s="165"/>
      <c r="G6" s="165"/>
      <c r="H6" s="165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165"/>
      <c r="U6" s="165"/>
      <c r="V6" s="165"/>
      <c r="W6" s="165"/>
      <c r="X6" s="165"/>
      <c r="Y6" s="166"/>
      <c r="Z6" s="92"/>
    </row>
    <row r="7" spans="1:31" x14ac:dyDescent="0.15">
      <c r="A7" s="17"/>
      <c r="B7" s="163" t="s">
        <v>84</v>
      </c>
      <c r="C7" s="311" t="s">
        <v>205</v>
      </c>
      <c r="D7" s="312"/>
      <c r="E7" s="312"/>
      <c r="F7" s="313"/>
      <c r="G7" s="311" t="s">
        <v>83</v>
      </c>
      <c r="H7" s="312"/>
      <c r="I7" s="313"/>
      <c r="J7" s="311" t="s">
        <v>85</v>
      </c>
      <c r="K7" s="313"/>
      <c r="L7" s="97" t="s">
        <v>86</v>
      </c>
      <c r="M7" s="97" t="s">
        <v>87</v>
      </c>
      <c r="N7" s="97" t="s">
        <v>121</v>
      </c>
      <c r="O7" s="97" t="s">
        <v>88</v>
      </c>
      <c r="P7" s="97" t="s">
        <v>89</v>
      </c>
      <c r="Q7" s="97" t="s">
        <v>89</v>
      </c>
      <c r="R7" s="97" t="s">
        <v>89</v>
      </c>
      <c r="S7" s="97" t="s">
        <v>89</v>
      </c>
      <c r="T7" s="97" t="s">
        <v>89</v>
      </c>
      <c r="U7" s="311" t="s">
        <v>90</v>
      </c>
      <c r="V7" s="312"/>
      <c r="W7" s="312"/>
      <c r="X7" s="313"/>
      <c r="Y7" s="98"/>
      <c r="Z7" s="96" t="s">
        <v>126</v>
      </c>
      <c r="AA7" s="12" t="s">
        <v>127</v>
      </c>
      <c r="AB7" s="12" t="s">
        <v>125</v>
      </c>
    </row>
    <row r="8" spans="1:31" x14ac:dyDescent="0.15">
      <c r="A8" s="17"/>
      <c r="B8" s="99" t="s">
        <v>94</v>
      </c>
      <c r="C8" s="301" t="s">
        <v>211</v>
      </c>
      <c r="D8" s="302"/>
      <c r="E8" s="302"/>
      <c r="F8" s="303"/>
      <c r="G8" s="304">
        <v>1</v>
      </c>
      <c r="H8" s="305"/>
      <c r="I8" s="306"/>
      <c r="J8" s="304" t="s">
        <v>91</v>
      </c>
      <c r="K8" s="306"/>
      <c r="L8" s="100">
        <v>1</v>
      </c>
      <c r="M8" s="100"/>
      <c r="N8" s="100"/>
      <c r="O8" s="100"/>
      <c r="P8" s="100"/>
      <c r="Q8" s="100"/>
      <c r="R8" s="100"/>
      <c r="S8" s="100"/>
      <c r="T8" s="100"/>
      <c r="U8" s="307" t="s">
        <v>210</v>
      </c>
      <c r="V8" s="308"/>
      <c r="W8" s="308"/>
      <c r="X8" s="309"/>
      <c r="Y8" s="98"/>
      <c r="Z8" s="106">
        <f t="shared" ref="Z8:Z16" si="0">IF(LEFT(J8,7)="decimal",INT(MID(J8,9,FIND(",",J8,9)-9)),0)</f>
        <v>0</v>
      </c>
      <c r="AA8" s="105">
        <f t="shared" ref="AA8:AA37" si="1">IF(J8="varbinary(max)",2147483647,IF(J8="bit",1,IF(LEFT(J8,4)="char",INT(MID(J8,6,LEN(J8)-6)),IF(LEFT(J8,7)="varchar",INT(MID(J8,9,LEN(J8)-9)+2),IF(LEFT(J8,8)="nvarchar",INT(MID(J8,10,LEN(J8)-10)*2+2),IF(LEFT(J8,7)="decimal",IF(Z8&lt;10,5,IF(Z8&lt;20,9,IF(Z8&lt;29,13,17))),0))))))</f>
        <v>0</v>
      </c>
      <c r="AB8" s="105">
        <f t="shared" ref="AB8:AB37" si="2">IF(AA8&gt;0,AA8,IF(J8="date",3,IF(OR(J8="int",J8="real"),4,IF(J8="time",5,IF(OR(J8="datetime",J8="float",J8="datetime2"),8,IF(J8="uniqueidentifier",16,0))))))</f>
        <v>4</v>
      </c>
    </row>
    <row r="9" spans="1:31" x14ac:dyDescent="0.15">
      <c r="A9" s="17"/>
      <c r="B9" s="99">
        <f>B8+1</f>
        <v>2</v>
      </c>
      <c r="C9" s="301" t="s">
        <v>227</v>
      </c>
      <c r="D9" s="302"/>
      <c r="E9" s="302"/>
      <c r="F9" s="303"/>
      <c r="G9" s="304">
        <v>1</v>
      </c>
      <c r="H9" s="305"/>
      <c r="I9" s="306"/>
      <c r="J9" s="304" t="s">
        <v>214</v>
      </c>
      <c r="K9" s="306"/>
      <c r="L9" s="100"/>
      <c r="M9" s="100"/>
      <c r="N9" s="100"/>
      <c r="O9" s="100"/>
      <c r="P9" s="100"/>
      <c r="Q9" s="100"/>
      <c r="R9" s="100"/>
      <c r="S9" s="100"/>
      <c r="T9" s="100"/>
      <c r="U9" s="307" t="s">
        <v>210</v>
      </c>
      <c r="V9" s="308"/>
      <c r="W9" s="308"/>
      <c r="X9" s="309"/>
      <c r="Y9" s="98"/>
      <c r="Z9" s="106">
        <f t="shared" si="0"/>
        <v>0</v>
      </c>
      <c r="AA9" s="105">
        <f t="shared" si="1"/>
        <v>0</v>
      </c>
      <c r="AB9" s="105">
        <f t="shared" si="2"/>
        <v>4</v>
      </c>
    </row>
    <row r="10" spans="1:31" x14ac:dyDescent="0.15">
      <c r="A10" s="17"/>
      <c r="B10" s="99">
        <f t="shared" ref="B10:B37" si="3">B9+1</f>
        <v>3</v>
      </c>
      <c r="C10" s="301" t="s">
        <v>212</v>
      </c>
      <c r="D10" s="302"/>
      <c r="E10" s="302"/>
      <c r="F10" s="303"/>
      <c r="G10" s="304">
        <v>1</v>
      </c>
      <c r="H10" s="305"/>
      <c r="I10" s="306"/>
      <c r="J10" s="304" t="s">
        <v>214</v>
      </c>
      <c r="K10" s="306"/>
      <c r="L10" s="100"/>
      <c r="M10" s="100"/>
      <c r="N10" s="100"/>
      <c r="O10" s="100"/>
      <c r="P10" s="100"/>
      <c r="Q10" s="100"/>
      <c r="R10" s="100"/>
      <c r="S10" s="100"/>
      <c r="T10" s="100"/>
      <c r="U10" s="301"/>
      <c r="V10" s="302"/>
      <c r="W10" s="302"/>
      <c r="X10" s="303"/>
      <c r="Y10" s="98"/>
      <c r="Z10" s="106">
        <f t="shared" si="0"/>
        <v>0</v>
      </c>
      <c r="AA10" s="105">
        <f t="shared" si="1"/>
        <v>0</v>
      </c>
      <c r="AB10" s="105">
        <f t="shared" si="2"/>
        <v>4</v>
      </c>
    </row>
    <row r="11" spans="1:31" x14ac:dyDescent="0.15">
      <c r="A11" s="17"/>
      <c r="B11" s="99">
        <f t="shared" si="3"/>
        <v>4</v>
      </c>
      <c r="C11" s="301" t="s">
        <v>213</v>
      </c>
      <c r="D11" s="302"/>
      <c r="E11" s="302"/>
      <c r="F11" s="303"/>
      <c r="G11" s="304">
        <v>1</v>
      </c>
      <c r="H11" s="305"/>
      <c r="I11" s="306"/>
      <c r="J11" s="304" t="s">
        <v>214</v>
      </c>
      <c r="K11" s="306"/>
      <c r="L11" s="100"/>
      <c r="M11" s="100"/>
      <c r="N11" s="100"/>
      <c r="O11" s="100"/>
      <c r="P11" s="100"/>
      <c r="Q11" s="100"/>
      <c r="R11" s="100"/>
      <c r="S11" s="100"/>
      <c r="T11" s="100"/>
      <c r="U11" s="301"/>
      <c r="V11" s="302"/>
      <c r="W11" s="302"/>
      <c r="X11" s="303"/>
      <c r="Y11" s="98"/>
      <c r="Z11" s="106">
        <f t="shared" si="0"/>
        <v>0</v>
      </c>
      <c r="AA11" s="105">
        <f t="shared" si="1"/>
        <v>0</v>
      </c>
      <c r="AB11" s="105">
        <f t="shared" si="2"/>
        <v>4</v>
      </c>
    </row>
    <row r="12" spans="1:31" x14ac:dyDescent="0.15">
      <c r="A12" s="17"/>
      <c r="B12" s="99">
        <f t="shared" si="3"/>
        <v>5</v>
      </c>
      <c r="C12" s="301" t="s">
        <v>313</v>
      </c>
      <c r="D12" s="302"/>
      <c r="E12" s="302"/>
      <c r="F12" s="303"/>
      <c r="G12" s="304">
        <v>1</v>
      </c>
      <c r="H12" s="305"/>
      <c r="I12" s="306"/>
      <c r="J12" s="304" t="s">
        <v>214</v>
      </c>
      <c r="K12" s="306"/>
      <c r="L12" s="100"/>
      <c r="M12" s="162" t="s">
        <v>92</v>
      </c>
      <c r="N12" s="100">
        <v>0</v>
      </c>
      <c r="O12" s="100"/>
      <c r="P12" s="100"/>
      <c r="Q12" s="100"/>
      <c r="R12" s="100"/>
      <c r="S12" s="100"/>
      <c r="T12" s="100"/>
      <c r="U12" s="301"/>
      <c r="V12" s="302"/>
      <c r="W12" s="302"/>
      <c r="X12" s="303"/>
      <c r="Y12" s="98"/>
      <c r="Z12" s="106">
        <f t="shared" si="0"/>
        <v>0</v>
      </c>
      <c r="AA12" s="105">
        <f t="shared" si="1"/>
        <v>0</v>
      </c>
      <c r="AB12" s="105">
        <f t="shared" si="2"/>
        <v>4</v>
      </c>
    </row>
    <row r="13" spans="1:31" x14ac:dyDescent="0.15">
      <c r="A13" s="17"/>
      <c r="B13" s="99">
        <f t="shared" si="3"/>
        <v>6</v>
      </c>
      <c r="C13" s="301"/>
      <c r="D13" s="302"/>
      <c r="E13" s="302"/>
      <c r="F13" s="303"/>
      <c r="G13" s="304"/>
      <c r="H13" s="305"/>
      <c r="I13" s="306"/>
      <c r="J13" s="304"/>
      <c r="K13" s="306"/>
      <c r="L13" s="100"/>
      <c r="M13" s="100"/>
      <c r="N13" s="100"/>
      <c r="O13" s="100"/>
      <c r="P13" s="100"/>
      <c r="Q13" s="100"/>
      <c r="R13" s="100"/>
      <c r="S13" s="100"/>
      <c r="T13" s="100"/>
      <c r="U13" s="301"/>
      <c r="V13" s="302"/>
      <c r="W13" s="302"/>
      <c r="X13" s="303"/>
      <c r="Y13" s="98"/>
      <c r="Z13" s="106">
        <f t="shared" si="0"/>
        <v>0</v>
      </c>
      <c r="AA13" s="105">
        <f t="shared" si="1"/>
        <v>0</v>
      </c>
      <c r="AB13" s="105">
        <f>IF(AA13&gt;0,AA13,IF(J13="date",3,IF(OR(J13="int",J13="real"),4,IF(J13="time",5,IF(OR(J13="datetime",J13="float",J13="datetime2"),8,IF(J13="uniqueidentifier",16,0))))))</f>
        <v>0</v>
      </c>
    </row>
    <row r="14" spans="1:31" x14ac:dyDescent="0.15">
      <c r="A14" s="17"/>
      <c r="B14" s="99">
        <f t="shared" si="3"/>
        <v>7</v>
      </c>
      <c r="C14" s="301"/>
      <c r="D14" s="302"/>
      <c r="E14" s="302"/>
      <c r="F14" s="303"/>
      <c r="G14" s="304"/>
      <c r="H14" s="305"/>
      <c r="I14" s="306"/>
      <c r="J14" s="304"/>
      <c r="K14" s="306"/>
      <c r="L14" s="100"/>
      <c r="M14" s="100"/>
      <c r="N14" s="100"/>
      <c r="O14" s="100"/>
      <c r="P14" s="100"/>
      <c r="Q14" s="100"/>
      <c r="R14" s="100"/>
      <c r="S14" s="100"/>
      <c r="T14" s="100"/>
      <c r="U14" s="301"/>
      <c r="V14" s="302"/>
      <c r="W14" s="302"/>
      <c r="X14" s="303"/>
      <c r="Y14" s="98"/>
      <c r="Z14" s="106">
        <f t="shared" si="0"/>
        <v>0</v>
      </c>
      <c r="AA14" s="105">
        <f t="shared" si="1"/>
        <v>0</v>
      </c>
      <c r="AB14" s="105">
        <f t="shared" si="2"/>
        <v>0</v>
      </c>
    </row>
    <row r="15" spans="1:31" x14ac:dyDescent="0.15">
      <c r="A15" s="101"/>
      <c r="B15" s="99">
        <f t="shared" si="3"/>
        <v>8</v>
      </c>
      <c r="C15" s="301"/>
      <c r="D15" s="302"/>
      <c r="E15" s="302"/>
      <c r="F15" s="303"/>
      <c r="G15" s="304"/>
      <c r="H15" s="305"/>
      <c r="I15" s="306"/>
      <c r="J15" s="304"/>
      <c r="K15" s="306"/>
      <c r="L15" s="100"/>
      <c r="M15" s="162"/>
      <c r="N15" s="100"/>
      <c r="O15" s="100"/>
      <c r="P15" s="100"/>
      <c r="Q15" s="100"/>
      <c r="R15" s="100"/>
      <c r="S15" s="100"/>
      <c r="T15" s="100"/>
      <c r="U15" s="301"/>
      <c r="V15" s="302"/>
      <c r="W15" s="302"/>
      <c r="X15" s="303"/>
      <c r="Y15" s="98"/>
      <c r="Z15" s="106">
        <f t="shared" si="0"/>
        <v>0</v>
      </c>
      <c r="AA15" s="105">
        <f t="shared" si="1"/>
        <v>0</v>
      </c>
      <c r="AB15" s="105">
        <f t="shared" si="2"/>
        <v>0</v>
      </c>
    </row>
    <row r="16" spans="1:31" x14ac:dyDescent="0.15">
      <c r="A16" s="101"/>
      <c r="B16" s="99">
        <f t="shared" si="3"/>
        <v>9</v>
      </c>
      <c r="C16" s="301"/>
      <c r="D16" s="302"/>
      <c r="E16" s="302"/>
      <c r="F16" s="303"/>
      <c r="G16" s="304"/>
      <c r="H16" s="305"/>
      <c r="I16" s="306"/>
      <c r="J16" s="304"/>
      <c r="K16" s="306"/>
      <c r="L16" s="100"/>
      <c r="M16" s="100"/>
      <c r="N16" s="100"/>
      <c r="O16" s="100"/>
      <c r="P16" s="100"/>
      <c r="Q16" s="100"/>
      <c r="R16" s="100"/>
      <c r="S16" s="100"/>
      <c r="T16" s="100"/>
      <c r="U16" s="301"/>
      <c r="V16" s="302"/>
      <c r="W16" s="302"/>
      <c r="X16" s="303"/>
      <c r="Y16" s="98"/>
      <c r="Z16" s="106">
        <f t="shared" si="0"/>
        <v>0</v>
      </c>
      <c r="AA16" s="105">
        <f t="shared" si="1"/>
        <v>0</v>
      </c>
      <c r="AB16" s="105">
        <f t="shared" si="2"/>
        <v>0</v>
      </c>
    </row>
    <row r="17" spans="1:28" x14ac:dyDescent="0.15">
      <c r="A17" s="101"/>
      <c r="B17" s="99">
        <f t="shared" si="3"/>
        <v>10</v>
      </c>
      <c r="C17" s="301"/>
      <c r="D17" s="302"/>
      <c r="E17" s="302"/>
      <c r="F17" s="303"/>
      <c r="G17" s="304"/>
      <c r="H17" s="305"/>
      <c r="I17" s="306"/>
      <c r="J17" s="304"/>
      <c r="K17" s="306"/>
      <c r="L17" s="100"/>
      <c r="M17" s="100"/>
      <c r="N17" s="100"/>
      <c r="O17" s="100"/>
      <c r="P17" s="100"/>
      <c r="Q17" s="100"/>
      <c r="R17" s="100"/>
      <c r="S17" s="100"/>
      <c r="T17" s="100"/>
      <c r="U17" s="301"/>
      <c r="V17" s="302"/>
      <c r="W17" s="302"/>
      <c r="X17" s="303"/>
      <c r="Y17" s="98"/>
      <c r="Z17" s="106">
        <f>IF(LEFT(J17,7)="decimal",INT(MID(J17,9,FIND(",",J17,9)-9)),0)</f>
        <v>0</v>
      </c>
      <c r="AA17" s="105">
        <f t="shared" si="1"/>
        <v>0</v>
      </c>
      <c r="AB17" s="105">
        <f t="shared" si="2"/>
        <v>0</v>
      </c>
    </row>
    <row r="18" spans="1:28" x14ac:dyDescent="0.15">
      <c r="A18" s="101"/>
      <c r="B18" s="99">
        <f t="shared" si="3"/>
        <v>11</v>
      </c>
      <c r="C18" s="301"/>
      <c r="D18" s="302"/>
      <c r="E18" s="302"/>
      <c r="F18" s="303"/>
      <c r="G18" s="304"/>
      <c r="H18" s="305"/>
      <c r="I18" s="306"/>
      <c r="J18" s="304"/>
      <c r="K18" s="306"/>
      <c r="L18" s="100"/>
      <c r="M18" s="100"/>
      <c r="N18" s="100"/>
      <c r="O18" s="100"/>
      <c r="P18" s="100"/>
      <c r="Q18" s="100"/>
      <c r="R18" s="100"/>
      <c r="S18" s="100"/>
      <c r="T18" s="100"/>
      <c r="U18" s="301"/>
      <c r="V18" s="302"/>
      <c r="W18" s="302"/>
      <c r="X18" s="303"/>
      <c r="Y18" s="98"/>
      <c r="Z18" s="106">
        <f t="shared" ref="Z18:Z37" si="4">IF(LEFT(J18,7)="decimal",INT(MID(J18,9,FIND(",",J18,9)-9)),0)</f>
        <v>0</v>
      </c>
      <c r="AA18" s="105">
        <f t="shared" si="1"/>
        <v>0</v>
      </c>
      <c r="AB18" s="105">
        <f t="shared" si="2"/>
        <v>0</v>
      </c>
    </row>
    <row r="19" spans="1:28" x14ac:dyDescent="0.15">
      <c r="A19" s="101"/>
      <c r="B19" s="99">
        <f t="shared" si="3"/>
        <v>12</v>
      </c>
      <c r="C19" s="301"/>
      <c r="D19" s="302"/>
      <c r="E19" s="302"/>
      <c r="F19" s="303"/>
      <c r="G19" s="304"/>
      <c r="H19" s="305"/>
      <c r="I19" s="306"/>
      <c r="J19" s="304"/>
      <c r="K19" s="306"/>
      <c r="L19" s="100"/>
      <c r="M19" s="100"/>
      <c r="N19" s="100"/>
      <c r="O19" s="100"/>
      <c r="P19" s="100"/>
      <c r="Q19" s="100"/>
      <c r="R19" s="100"/>
      <c r="S19" s="100"/>
      <c r="T19" s="100"/>
      <c r="U19" s="301"/>
      <c r="V19" s="302"/>
      <c r="W19" s="302"/>
      <c r="X19" s="303"/>
      <c r="Y19" s="98"/>
      <c r="Z19" s="106">
        <f t="shared" si="4"/>
        <v>0</v>
      </c>
      <c r="AA19" s="105">
        <f t="shared" si="1"/>
        <v>0</v>
      </c>
      <c r="AB19" s="105">
        <f t="shared" si="2"/>
        <v>0</v>
      </c>
    </row>
    <row r="20" spans="1:28" x14ac:dyDescent="0.15">
      <c r="A20" s="101"/>
      <c r="B20" s="99">
        <f t="shared" si="3"/>
        <v>13</v>
      </c>
      <c r="C20" s="301"/>
      <c r="D20" s="302"/>
      <c r="E20" s="302"/>
      <c r="F20" s="303"/>
      <c r="G20" s="304"/>
      <c r="H20" s="305"/>
      <c r="I20" s="306"/>
      <c r="J20" s="304"/>
      <c r="K20" s="306"/>
      <c r="L20" s="100"/>
      <c r="M20" s="100"/>
      <c r="N20" s="100"/>
      <c r="O20" s="100"/>
      <c r="P20" s="100"/>
      <c r="Q20" s="100"/>
      <c r="R20" s="100"/>
      <c r="S20" s="100"/>
      <c r="T20" s="100"/>
      <c r="U20" s="301"/>
      <c r="V20" s="302"/>
      <c r="W20" s="302"/>
      <c r="X20" s="303"/>
      <c r="Y20" s="98"/>
      <c r="Z20" s="106">
        <f t="shared" si="4"/>
        <v>0</v>
      </c>
      <c r="AA20" s="105">
        <f t="shared" si="1"/>
        <v>0</v>
      </c>
      <c r="AB20" s="105">
        <f t="shared" si="2"/>
        <v>0</v>
      </c>
    </row>
    <row r="21" spans="1:28" x14ac:dyDescent="0.15">
      <c r="A21" s="101"/>
      <c r="B21" s="99">
        <f t="shared" si="3"/>
        <v>14</v>
      </c>
      <c r="C21" s="301"/>
      <c r="D21" s="302"/>
      <c r="E21" s="302"/>
      <c r="F21" s="303"/>
      <c r="G21" s="304"/>
      <c r="H21" s="305"/>
      <c r="I21" s="306"/>
      <c r="J21" s="304"/>
      <c r="K21" s="306"/>
      <c r="L21" s="100"/>
      <c r="M21" s="100"/>
      <c r="N21" s="100"/>
      <c r="O21" s="100"/>
      <c r="P21" s="100"/>
      <c r="Q21" s="100"/>
      <c r="R21" s="100"/>
      <c r="S21" s="100"/>
      <c r="T21" s="100"/>
      <c r="U21" s="301"/>
      <c r="V21" s="302"/>
      <c r="W21" s="302"/>
      <c r="X21" s="303"/>
      <c r="Y21" s="98"/>
      <c r="Z21" s="106">
        <f t="shared" si="4"/>
        <v>0</v>
      </c>
      <c r="AA21" s="105">
        <f t="shared" si="1"/>
        <v>0</v>
      </c>
      <c r="AB21" s="105">
        <f t="shared" si="2"/>
        <v>0</v>
      </c>
    </row>
    <row r="22" spans="1:28" x14ac:dyDescent="0.15">
      <c r="A22" s="101"/>
      <c r="B22" s="99">
        <f t="shared" si="3"/>
        <v>15</v>
      </c>
      <c r="C22" s="301"/>
      <c r="D22" s="302"/>
      <c r="E22" s="302"/>
      <c r="F22" s="303"/>
      <c r="G22" s="304"/>
      <c r="H22" s="305"/>
      <c r="I22" s="306"/>
      <c r="J22" s="304"/>
      <c r="K22" s="306"/>
      <c r="L22" s="100"/>
      <c r="M22" s="100"/>
      <c r="N22" s="100"/>
      <c r="O22" s="100"/>
      <c r="P22" s="100"/>
      <c r="Q22" s="100"/>
      <c r="R22" s="100"/>
      <c r="S22" s="100"/>
      <c r="T22" s="100"/>
      <c r="U22" s="301"/>
      <c r="V22" s="302"/>
      <c r="W22" s="302"/>
      <c r="X22" s="303"/>
      <c r="Y22" s="98"/>
      <c r="Z22" s="106">
        <f t="shared" si="4"/>
        <v>0</v>
      </c>
      <c r="AA22" s="105">
        <f t="shared" si="1"/>
        <v>0</v>
      </c>
      <c r="AB22" s="105">
        <f t="shared" si="2"/>
        <v>0</v>
      </c>
    </row>
    <row r="23" spans="1:28" x14ac:dyDescent="0.15">
      <c r="A23" s="101"/>
      <c r="B23" s="99">
        <f t="shared" si="3"/>
        <v>16</v>
      </c>
      <c r="C23" s="301"/>
      <c r="D23" s="302"/>
      <c r="E23" s="302"/>
      <c r="F23" s="303"/>
      <c r="G23" s="304"/>
      <c r="H23" s="305"/>
      <c r="I23" s="306"/>
      <c r="J23" s="304"/>
      <c r="K23" s="306"/>
      <c r="L23" s="100"/>
      <c r="M23" s="100"/>
      <c r="N23" s="100"/>
      <c r="O23" s="100"/>
      <c r="P23" s="100"/>
      <c r="Q23" s="100"/>
      <c r="R23" s="100"/>
      <c r="S23" s="100"/>
      <c r="T23" s="100"/>
      <c r="U23" s="301"/>
      <c r="V23" s="302"/>
      <c r="W23" s="302"/>
      <c r="X23" s="303"/>
      <c r="Y23" s="98"/>
      <c r="Z23" s="106">
        <f t="shared" si="4"/>
        <v>0</v>
      </c>
      <c r="AA23" s="105">
        <f t="shared" si="1"/>
        <v>0</v>
      </c>
      <c r="AB23" s="105">
        <f t="shared" si="2"/>
        <v>0</v>
      </c>
    </row>
    <row r="24" spans="1:28" x14ac:dyDescent="0.15">
      <c r="A24" s="101"/>
      <c r="B24" s="99">
        <f t="shared" si="3"/>
        <v>17</v>
      </c>
      <c r="C24" s="301"/>
      <c r="D24" s="302"/>
      <c r="E24" s="302"/>
      <c r="F24" s="303"/>
      <c r="G24" s="304"/>
      <c r="H24" s="305"/>
      <c r="I24" s="306"/>
      <c r="J24" s="304"/>
      <c r="K24" s="306"/>
      <c r="L24" s="100"/>
      <c r="M24" s="100"/>
      <c r="N24" s="100"/>
      <c r="O24" s="100"/>
      <c r="P24" s="100"/>
      <c r="Q24" s="100"/>
      <c r="R24" s="100"/>
      <c r="S24" s="100"/>
      <c r="T24" s="100"/>
      <c r="U24" s="301"/>
      <c r="V24" s="302"/>
      <c r="W24" s="302"/>
      <c r="X24" s="303"/>
      <c r="Y24" s="98"/>
      <c r="Z24" s="106">
        <f t="shared" si="4"/>
        <v>0</v>
      </c>
      <c r="AA24" s="105">
        <f t="shared" si="1"/>
        <v>0</v>
      </c>
      <c r="AB24" s="105">
        <f t="shared" si="2"/>
        <v>0</v>
      </c>
    </row>
    <row r="25" spans="1:28" x14ac:dyDescent="0.15">
      <c r="A25" s="101"/>
      <c r="B25" s="99">
        <f t="shared" si="3"/>
        <v>18</v>
      </c>
      <c r="C25" s="301"/>
      <c r="D25" s="302"/>
      <c r="E25" s="302"/>
      <c r="F25" s="303"/>
      <c r="G25" s="304"/>
      <c r="H25" s="305"/>
      <c r="I25" s="306"/>
      <c r="J25" s="304"/>
      <c r="K25" s="306"/>
      <c r="L25" s="100"/>
      <c r="M25" s="100"/>
      <c r="N25" s="100"/>
      <c r="O25" s="100"/>
      <c r="P25" s="100"/>
      <c r="Q25" s="100"/>
      <c r="R25" s="100"/>
      <c r="S25" s="100"/>
      <c r="T25" s="100"/>
      <c r="U25" s="301"/>
      <c r="V25" s="302"/>
      <c r="W25" s="302"/>
      <c r="X25" s="303"/>
      <c r="Y25" s="98"/>
      <c r="Z25" s="106">
        <f t="shared" si="4"/>
        <v>0</v>
      </c>
      <c r="AA25" s="105">
        <f t="shared" si="1"/>
        <v>0</v>
      </c>
      <c r="AB25" s="105">
        <f t="shared" si="2"/>
        <v>0</v>
      </c>
    </row>
    <row r="26" spans="1:28" x14ac:dyDescent="0.15">
      <c r="A26" s="101"/>
      <c r="B26" s="99">
        <f t="shared" si="3"/>
        <v>19</v>
      </c>
      <c r="C26" s="301"/>
      <c r="D26" s="302"/>
      <c r="E26" s="302"/>
      <c r="F26" s="303"/>
      <c r="G26" s="304"/>
      <c r="H26" s="305"/>
      <c r="I26" s="306"/>
      <c r="J26" s="304"/>
      <c r="K26" s="306"/>
      <c r="L26" s="100"/>
      <c r="M26" s="100"/>
      <c r="N26" s="100"/>
      <c r="O26" s="100"/>
      <c r="P26" s="100"/>
      <c r="Q26" s="100"/>
      <c r="R26" s="100"/>
      <c r="S26" s="100"/>
      <c r="T26" s="100"/>
      <c r="U26" s="301"/>
      <c r="V26" s="302"/>
      <c r="W26" s="302"/>
      <c r="X26" s="303"/>
      <c r="Y26" s="98"/>
      <c r="Z26" s="106">
        <f t="shared" si="4"/>
        <v>0</v>
      </c>
      <c r="AA26" s="105">
        <f t="shared" si="1"/>
        <v>0</v>
      </c>
      <c r="AB26" s="105">
        <f t="shared" si="2"/>
        <v>0</v>
      </c>
    </row>
    <row r="27" spans="1:28" x14ac:dyDescent="0.15">
      <c r="A27" s="101"/>
      <c r="B27" s="99">
        <f t="shared" si="3"/>
        <v>20</v>
      </c>
      <c r="C27" s="301"/>
      <c r="D27" s="302"/>
      <c r="E27" s="302"/>
      <c r="F27" s="303"/>
      <c r="G27" s="304"/>
      <c r="H27" s="305"/>
      <c r="I27" s="306"/>
      <c r="J27" s="304"/>
      <c r="K27" s="306"/>
      <c r="L27" s="100"/>
      <c r="M27" s="100"/>
      <c r="N27" s="100"/>
      <c r="O27" s="100"/>
      <c r="P27" s="100"/>
      <c r="Q27" s="100"/>
      <c r="R27" s="100"/>
      <c r="S27" s="100"/>
      <c r="T27" s="100"/>
      <c r="U27" s="301"/>
      <c r="V27" s="302"/>
      <c r="W27" s="302"/>
      <c r="X27" s="303"/>
      <c r="Y27" s="98"/>
      <c r="Z27" s="106">
        <f t="shared" si="4"/>
        <v>0</v>
      </c>
      <c r="AA27" s="105">
        <f t="shared" si="1"/>
        <v>0</v>
      </c>
      <c r="AB27" s="105">
        <f t="shared" si="2"/>
        <v>0</v>
      </c>
    </row>
    <row r="28" spans="1:28" x14ac:dyDescent="0.15">
      <c r="A28" s="101"/>
      <c r="B28" s="99">
        <f t="shared" si="3"/>
        <v>21</v>
      </c>
      <c r="C28" s="301"/>
      <c r="D28" s="302"/>
      <c r="E28" s="302"/>
      <c r="F28" s="303"/>
      <c r="G28" s="304"/>
      <c r="H28" s="305"/>
      <c r="I28" s="306"/>
      <c r="J28" s="304"/>
      <c r="K28" s="306"/>
      <c r="L28" s="100"/>
      <c r="M28" s="100"/>
      <c r="N28" s="100"/>
      <c r="O28" s="100"/>
      <c r="P28" s="100"/>
      <c r="Q28" s="100"/>
      <c r="R28" s="100"/>
      <c r="S28" s="100"/>
      <c r="T28" s="100"/>
      <c r="U28" s="301"/>
      <c r="V28" s="302"/>
      <c r="W28" s="302"/>
      <c r="X28" s="303"/>
      <c r="Y28" s="98"/>
      <c r="Z28" s="106">
        <f t="shared" si="4"/>
        <v>0</v>
      </c>
      <c r="AA28" s="105">
        <f t="shared" si="1"/>
        <v>0</v>
      </c>
      <c r="AB28" s="105">
        <f t="shared" si="2"/>
        <v>0</v>
      </c>
    </row>
    <row r="29" spans="1:28" x14ac:dyDescent="0.15">
      <c r="A29" s="101"/>
      <c r="B29" s="99">
        <f t="shared" si="3"/>
        <v>22</v>
      </c>
      <c r="C29" s="301"/>
      <c r="D29" s="302"/>
      <c r="E29" s="302"/>
      <c r="F29" s="303"/>
      <c r="G29" s="304"/>
      <c r="H29" s="305"/>
      <c r="I29" s="306"/>
      <c r="J29" s="304"/>
      <c r="K29" s="306"/>
      <c r="L29" s="100"/>
      <c r="M29" s="100"/>
      <c r="N29" s="100"/>
      <c r="O29" s="100"/>
      <c r="P29" s="100"/>
      <c r="Q29" s="100"/>
      <c r="R29" s="100"/>
      <c r="S29" s="100"/>
      <c r="T29" s="100"/>
      <c r="U29" s="301"/>
      <c r="V29" s="302"/>
      <c r="W29" s="302"/>
      <c r="X29" s="303"/>
      <c r="Y29" s="98"/>
      <c r="Z29" s="106">
        <f t="shared" si="4"/>
        <v>0</v>
      </c>
      <c r="AA29" s="105">
        <f t="shared" si="1"/>
        <v>0</v>
      </c>
      <c r="AB29" s="105">
        <f t="shared" si="2"/>
        <v>0</v>
      </c>
    </row>
    <row r="30" spans="1:28" x14ac:dyDescent="0.15">
      <c r="A30" s="101"/>
      <c r="B30" s="99">
        <f t="shared" si="3"/>
        <v>23</v>
      </c>
      <c r="C30" s="301"/>
      <c r="D30" s="302"/>
      <c r="E30" s="302"/>
      <c r="F30" s="303"/>
      <c r="G30" s="304"/>
      <c r="H30" s="305"/>
      <c r="I30" s="306"/>
      <c r="J30" s="304"/>
      <c r="K30" s="306"/>
      <c r="L30" s="100"/>
      <c r="M30" s="100"/>
      <c r="N30" s="100"/>
      <c r="O30" s="100"/>
      <c r="P30" s="100"/>
      <c r="Q30" s="100"/>
      <c r="R30" s="100"/>
      <c r="S30" s="100"/>
      <c r="T30" s="100"/>
      <c r="U30" s="301"/>
      <c r="V30" s="302"/>
      <c r="W30" s="302"/>
      <c r="X30" s="303"/>
      <c r="Y30" s="98"/>
      <c r="Z30" s="106">
        <f t="shared" si="4"/>
        <v>0</v>
      </c>
      <c r="AA30" s="105">
        <f t="shared" si="1"/>
        <v>0</v>
      </c>
      <c r="AB30" s="105">
        <f t="shared" si="2"/>
        <v>0</v>
      </c>
    </row>
    <row r="31" spans="1:28" x14ac:dyDescent="0.15">
      <c r="A31" s="101"/>
      <c r="B31" s="99">
        <f t="shared" si="3"/>
        <v>24</v>
      </c>
      <c r="C31" s="301"/>
      <c r="D31" s="302"/>
      <c r="E31" s="302"/>
      <c r="F31" s="303"/>
      <c r="G31" s="304"/>
      <c r="H31" s="305"/>
      <c r="I31" s="306"/>
      <c r="J31" s="304"/>
      <c r="K31" s="306"/>
      <c r="L31" s="100"/>
      <c r="M31" s="100"/>
      <c r="N31" s="100"/>
      <c r="O31" s="100"/>
      <c r="P31" s="100"/>
      <c r="Q31" s="100"/>
      <c r="R31" s="100"/>
      <c r="S31" s="100"/>
      <c r="T31" s="100"/>
      <c r="U31" s="301"/>
      <c r="V31" s="302"/>
      <c r="W31" s="302"/>
      <c r="X31" s="303"/>
      <c r="Y31" s="98"/>
      <c r="Z31" s="106">
        <f t="shared" si="4"/>
        <v>0</v>
      </c>
      <c r="AA31" s="105">
        <f t="shared" si="1"/>
        <v>0</v>
      </c>
      <c r="AB31" s="105">
        <f t="shared" si="2"/>
        <v>0</v>
      </c>
    </row>
    <row r="32" spans="1:28" x14ac:dyDescent="0.15">
      <c r="A32" s="101"/>
      <c r="B32" s="99">
        <f t="shared" si="3"/>
        <v>25</v>
      </c>
      <c r="C32" s="301"/>
      <c r="D32" s="302"/>
      <c r="E32" s="302"/>
      <c r="F32" s="303"/>
      <c r="G32" s="304"/>
      <c r="H32" s="305"/>
      <c r="I32" s="306"/>
      <c r="J32" s="304"/>
      <c r="K32" s="306"/>
      <c r="L32" s="100"/>
      <c r="M32" s="100"/>
      <c r="N32" s="100"/>
      <c r="O32" s="100"/>
      <c r="P32" s="100"/>
      <c r="Q32" s="100"/>
      <c r="R32" s="100"/>
      <c r="S32" s="100"/>
      <c r="T32" s="100"/>
      <c r="U32" s="301"/>
      <c r="V32" s="302"/>
      <c r="W32" s="302"/>
      <c r="X32" s="303"/>
      <c r="Y32" s="98"/>
      <c r="Z32" s="106">
        <f t="shared" si="4"/>
        <v>0</v>
      </c>
      <c r="AA32" s="105">
        <f t="shared" si="1"/>
        <v>0</v>
      </c>
      <c r="AB32" s="105">
        <f t="shared" si="2"/>
        <v>0</v>
      </c>
    </row>
    <row r="33" spans="1:28" x14ac:dyDescent="0.15">
      <c r="A33" s="101"/>
      <c r="B33" s="99">
        <f t="shared" si="3"/>
        <v>26</v>
      </c>
      <c r="C33" s="301"/>
      <c r="D33" s="302"/>
      <c r="E33" s="302"/>
      <c r="F33" s="303"/>
      <c r="G33" s="304"/>
      <c r="H33" s="305"/>
      <c r="I33" s="306"/>
      <c r="J33" s="304"/>
      <c r="K33" s="306"/>
      <c r="L33" s="100"/>
      <c r="M33" s="100"/>
      <c r="N33" s="100"/>
      <c r="O33" s="100"/>
      <c r="P33" s="100"/>
      <c r="Q33" s="100"/>
      <c r="R33" s="100"/>
      <c r="S33" s="100"/>
      <c r="T33" s="100"/>
      <c r="U33" s="301"/>
      <c r="V33" s="302"/>
      <c r="W33" s="302"/>
      <c r="X33" s="303"/>
      <c r="Y33" s="98"/>
      <c r="Z33" s="106">
        <f t="shared" si="4"/>
        <v>0</v>
      </c>
      <c r="AA33" s="105">
        <f t="shared" si="1"/>
        <v>0</v>
      </c>
      <c r="AB33" s="105">
        <f t="shared" si="2"/>
        <v>0</v>
      </c>
    </row>
    <row r="34" spans="1:28" x14ac:dyDescent="0.15">
      <c r="A34" s="101"/>
      <c r="B34" s="99">
        <f t="shared" si="3"/>
        <v>27</v>
      </c>
      <c r="C34" s="301"/>
      <c r="D34" s="302"/>
      <c r="E34" s="302"/>
      <c r="F34" s="303"/>
      <c r="G34" s="304"/>
      <c r="H34" s="305"/>
      <c r="I34" s="306"/>
      <c r="J34" s="304"/>
      <c r="K34" s="306"/>
      <c r="L34" s="100"/>
      <c r="M34" s="100"/>
      <c r="N34" s="100"/>
      <c r="O34" s="100"/>
      <c r="P34" s="100"/>
      <c r="Q34" s="100"/>
      <c r="R34" s="100"/>
      <c r="S34" s="100"/>
      <c r="T34" s="100"/>
      <c r="U34" s="301"/>
      <c r="V34" s="302"/>
      <c r="W34" s="302"/>
      <c r="X34" s="303"/>
      <c r="Y34" s="98"/>
      <c r="Z34" s="106">
        <f t="shared" si="4"/>
        <v>0</v>
      </c>
      <c r="AA34" s="105">
        <f t="shared" si="1"/>
        <v>0</v>
      </c>
      <c r="AB34" s="105">
        <f t="shared" si="2"/>
        <v>0</v>
      </c>
    </row>
    <row r="35" spans="1:28" x14ac:dyDescent="0.15">
      <c r="A35" s="101"/>
      <c r="B35" s="99">
        <f t="shared" si="3"/>
        <v>28</v>
      </c>
      <c r="C35" s="301"/>
      <c r="D35" s="302"/>
      <c r="E35" s="302"/>
      <c r="F35" s="303"/>
      <c r="G35" s="304"/>
      <c r="H35" s="305"/>
      <c r="I35" s="306"/>
      <c r="J35" s="304"/>
      <c r="K35" s="306"/>
      <c r="L35" s="100"/>
      <c r="M35" s="100"/>
      <c r="N35" s="100"/>
      <c r="O35" s="100"/>
      <c r="P35" s="100"/>
      <c r="Q35" s="100"/>
      <c r="R35" s="100"/>
      <c r="S35" s="100"/>
      <c r="T35" s="100"/>
      <c r="U35" s="301"/>
      <c r="V35" s="302"/>
      <c r="W35" s="302"/>
      <c r="X35" s="303"/>
      <c r="Y35" s="98"/>
      <c r="Z35" s="106">
        <f t="shared" si="4"/>
        <v>0</v>
      </c>
      <c r="AA35" s="105">
        <f t="shared" si="1"/>
        <v>0</v>
      </c>
      <c r="AB35" s="105">
        <f t="shared" si="2"/>
        <v>0</v>
      </c>
    </row>
    <row r="36" spans="1:28" x14ac:dyDescent="0.15">
      <c r="A36" s="101"/>
      <c r="B36" s="99">
        <f t="shared" si="3"/>
        <v>29</v>
      </c>
      <c r="C36" s="301"/>
      <c r="D36" s="302"/>
      <c r="E36" s="302"/>
      <c r="F36" s="303"/>
      <c r="G36" s="304"/>
      <c r="H36" s="305"/>
      <c r="I36" s="306"/>
      <c r="J36" s="304"/>
      <c r="K36" s="306"/>
      <c r="L36" s="100"/>
      <c r="M36" s="100"/>
      <c r="N36" s="100"/>
      <c r="O36" s="100"/>
      <c r="P36" s="100"/>
      <c r="Q36" s="100"/>
      <c r="R36" s="100"/>
      <c r="S36" s="100"/>
      <c r="T36" s="100"/>
      <c r="U36" s="301"/>
      <c r="V36" s="302"/>
      <c r="W36" s="302"/>
      <c r="X36" s="303"/>
      <c r="Y36" s="98"/>
      <c r="Z36" s="106">
        <f t="shared" si="4"/>
        <v>0</v>
      </c>
      <c r="AA36" s="105">
        <f t="shared" si="1"/>
        <v>0</v>
      </c>
      <c r="AB36" s="105">
        <f t="shared" si="2"/>
        <v>0</v>
      </c>
    </row>
    <row r="37" spans="1:28" x14ac:dyDescent="0.15">
      <c r="A37" s="101"/>
      <c r="B37" s="99">
        <f t="shared" si="3"/>
        <v>30</v>
      </c>
      <c r="C37" s="301"/>
      <c r="D37" s="302"/>
      <c r="E37" s="302"/>
      <c r="F37" s="303"/>
      <c r="G37" s="304"/>
      <c r="H37" s="305"/>
      <c r="I37" s="306"/>
      <c r="J37" s="304"/>
      <c r="K37" s="306"/>
      <c r="L37" s="100"/>
      <c r="M37" s="100"/>
      <c r="N37" s="100"/>
      <c r="O37" s="100"/>
      <c r="P37" s="100"/>
      <c r="Q37" s="100"/>
      <c r="R37" s="100"/>
      <c r="S37" s="100"/>
      <c r="T37" s="100"/>
      <c r="U37" s="301"/>
      <c r="V37" s="302"/>
      <c r="W37" s="302"/>
      <c r="X37" s="303"/>
      <c r="Y37" s="98"/>
      <c r="Z37" s="106">
        <f t="shared" si="4"/>
        <v>0</v>
      </c>
      <c r="AA37" s="105">
        <f t="shared" si="1"/>
        <v>0</v>
      </c>
      <c r="AB37" s="105">
        <f t="shared" si="2"/>
        <v>0</v>
      </c>
    </row>
    <row r="38" spans="1:28" x14ac:dyDescent="0.15">
      <c r="A38" s="101"/>
      <c r="B38" s="298" t="s">
        <v>122</v>
      </c>
      <c r="C38" s="299"/>
      <c r="D38" s="299"/>
      <c r="E38" s="299"/>
      <c r="F38" s="299"/>
      <c r="G38" s="299"/>
      <c r="H38" s="299"/>
      <c r="I38" s="299"/>
      <c r="J38" s="299"/>
      <c r="K38" s="299"/>
      <c r="L38" s="299"/>
      <c r="M38" s="299"/>
      <c r="N38" s="299"/>
      <c r="O38" s="299"/>
      <c r="P38" s="299"/>
      <c r="Q38" s="299"/>
      <c r="R38" s="299"/>
      <c r="S38" s="299"/>
      <c r="T38" s="299"/>
      <c r="U38" s="299"/>
      <c r="V38" s="299"/>
      <c r="W38" s="299"/>
      <c r="X38" s="300"/>
      <c r="Y38" s="98"/>
      <c r="Z38" s="92"/>
    </row>
    <row r="39" spans="1:28" x14ac:dyDescent="0.15">
      <c r="A39" s="101"/>
      <c r="B39" s="101"/>
      <c r="C39" s="92"/>
      <c r="D39" s="92"/>
      <c r="E39" s="92"/>
      <c r="F39" s="92"/>
      <c r="G39" s="92"/>
      <c r="H39" s="92"/>
      <c r="I39" s="92"/>
      <c r="J39" s="92"/>
      <c r="K39" s="92"/>
      <c r="L39" s="92"/>
      <c r="M39" s="92"/>
      <c r="N39" s="92"/>
      <c r="O39" s="92"/>
      <c r="P39" s="92"/>
      <c r="Q39" s="92"/>
      <c r="R39" s="92"/>
      <c r="S39" s="92"/>
      <c r="T39" s="92"/>
      <c r="U39" s="92"/>
      <c r="V39" s="92"/>
      <c r="W39" s="92"/>
      <c r="X39" s="98"/>
      <c r="Y39" s="98"/>
      <c r="Z39" s="92"/>
    </row>
    <row r="40" spans="1:28" x14ac:dyDescent="0.15">
      <c r="A40" s="101"/>
      <c r="B40" s="101"/>
      <c r="C40" s="92"/>
      <c r="D40" s="92"/>
      <c r="E40" s="92"/>
      <c r="F40" s="92"/>
      <c r="G40" s="92"/>
      <c r="H40" s="92"/>
      <c r="I40" s="92"/>
      <c r="J40" s="92"/>
      <c r="K40" s="92"/>
      <c r="L40" s="92"/>
      <c r="M40" s="92"/>
      <c r="N40" s="92"/>
      <c r="O40" s="92"/>
      <c r="P40" s="92"/>
      <c r="Q40" s="92"/>
      <c r="R40" s="92"/>
      <c r="S40" s="92"/>
      <c r="T40" s="92"/>
      <c r="U40" s="92"/>
      <c r="V40" s="92"/>
      <c r="W40" s="92"/>
      <c r="X40" s="98"/>
      <c r="Y40" s="98"/>
      <c r="Z40" s="92"/>
    </row>
    <row r="41" spans="1:28" x14ac:dyDescent="0.15">
      <c r="A41" s="101"/>
      <c r="B41" s="101"/>
      <c r="C41" s="92"/>
      <c r="D41" s="92"/>
      <c r="E41" s="92"/>
      <c r="F41" s="92"/>
      <c r="G41" s="92"/>
      <c r="H41" s="92"/>
      <c r="I41" s="92"/>
      <c r="J41" s="92"/>
      <c r="K41" s="92"/>
      <c r="L41" s="92"/>
      <c r="M41" s="92"/>
      <c r="N41" s="92"/>
      <c r="O41" s="92"/>
      <c r="P41" s="92"/>
      <c r="Q41" s="92"/>
      <c r="R41" s="92"/>
      <c r="S41" s="92"/>
      <c r="T41" s="92"/>
      <c r="U41" s="92"/>
      <c r="V41" s="92"/>
      <c r="W41" s="92"/>
      <c r="X41" s="98"/>
      <c r="Y41" s="98"/>
      <c r="Z41" s="92"/>
    </row>
    <row r="42" spans="1:28" x14ac:dyDescent="0.15">
      <c r="A42" s="101"/>
      <c r="B42" s="102"/>
      <c r="C42" s="93"/>
      <c r="D42" s="93"/>
      <c r="E42" s="93"/>
      <c r="F42" s="93"/>
      <c r="G42" s="93"/>
      <c r="H42" s="93"/>
      <c r="I42" s="93"/>
      <c r="J42" s="93"/>
      <c r="K42" s="93"/>
      <c r="L42" s="93"/>
      <c r="M42" s="93"/>
      <c r="N42" s="93"/>
      <c r="O42" s="93"/>
      <c r="P42" s="93"/>
      <c r="Q42" s="93"/>
      <c r="R42" s="93"/>
      <c r="S42" s="93"/>
      <c r="T42" s="93"/>
      <c r="U42" s="93"/>
      <c r="V42" s="93"/>
      <c r="W42" s="93"/>
      <c r="X42" s="103"/>
      <c r="Y42" s="98"/>
      <c r="Z42" s="92"/>
    </row>
    <row r="43" spans="1:28" x14ac:dyDescent="0.15">
      <c r="A43" s="102"/>
      <c r="B43" s="93"/>
      <c r="C43" s="93"/>
      <c r="D43" s="93"/>
      <c r="E43" s="93"/>
      <c r="F43" s="93"/>
      <c r="G43" s="93"/>
      <c r="H43" s="93"/>
      <c r="I43" s="93"/>
      <c r="J43" s="93"/>
      <c r="K43" s="93"/>
      <c r="L43" s="93"/>
      <c r="M43" s="93"/>
      <c r="N43" s="93"/>
      <c r="O43" s="93"/>
      <c r="P43" s="93"/>
      <c r="Q43" s="93"/>
      <c r="R43" s="93"/>
      <c r="S43" s="93"/>
      <c r="T43" s="93"/>
      <c r="U43" s="93"/>
      <c r="V43" s="93"/>
      <c r="W43" s="93"/>
      <c r="X43" s="93"/>
      <c r="Y43" s="103"/>
      <c r="Z43" s="92"/>
    </row>
  </sheetData>
  <mergeCells count="138">
    <mergeCell ref="W2:Y3"/>
    <mergeCell ref="A3:B3"/>
    <mergeCell ref="G3:I3"/>
    <mergeCell ref="C7:F7"/>
    <mergeCell ref="G7:I7"/>
    <mergeCell ref="J7:K7"/>
    <mergeCell ref="U7:X7"/>
    <mergeCell ref="A1:F2"/>
    <mergeCell ref="G1:I1"/>
    <mergeCell ref="P1:Q1"/>
    <mergeCell ref="R1:T1"/>
    <mergeCell ref="U1:V1"/>
    <mergeCell ref="W1:Y1"/>
    <mergeCell ref="G2:I2"/>
    <mergeCell ref="P2:Q3"/>
    <mergeCell ref="R2:T3"/>
    <mergeCell ref="U2:V3"/>
    <mergeCell ref="C10:F10"/>
    <mergeCell ref="G10:I10"/>
    <mergeCell ref="J10:K10"/>
    <mergeCell ref="U10:X10"/>
    <mergeCell ref="C11:F11"/>
    <mergeCell ref="G11:I11"/>
    <mergeCell ref="J11:K11"/>
    <mergeCell ref="U11:X11"/>
    <mergeCell ref="C8:F8"/>
    <mergeCell ref="G8:I8"/>
    <mergeCell ref="J8:K8"/>
    <mergeCell ref="U8:X8"/>
    <mergeCell ref="C9:F9"/>
    <mergeCell ref="G9:I9"/>
    <mergeCell ref="J9:K9"/>
    <mergeCell ref="U9:X9"/>
    <mergeCell ref="C14:F14"/>
    <mergeCell ref="G14:I14"/>
    <mergeCell ref="J14:K14"/>
    <mergeCell ref="U14:X14"/>
    <mergeCell ref="C15:F15"/>
    <mergeCell ref="G15:I15"/>
    <mergeCell ref="J15:K15"/>
    <mergeCell ref="U15:X15"/>
    <mergeCell ref="C12:F12"/>
    <mergeCell ref="G12:I12"/>
    <mergeCell ref="J12:K12"/>
    <mergeCell ref="U12:X12"/>
    <mergeCell ref="C13:F13"/>
    <mergeCell ref="G13:I13"/>
    <mergeCell ref="J13:K13"/>
    <mergeCell ref="U13:X13"/>
    <mergeCell ref="C18:F18"/>
    <mergeCell ref="G18:I18"/>
    <mergeCell ref="J18:K18"/>
    <mergeCell ref="U18:X18"/>
    <mergeCell ref="C19:F19"/>
    <mergeCell ref="G19:I19"/>
    <mergeCell ref="J19:K19"/>
    <mergeCell ref="U19:X19"/>
    <mergeCell ref="C16:F16"/>
    <mergeCell ref="G16:I16"/>
    <mergeCell ref="J16:K16"/>
    <mergeCell ref="U16:X16"/>
    <mergeCell ref="C17:F17"/>
    <mergeCell ref="G17:I17"/>
    <mergeCell ref="J17:K17"/>
    <mergeCell ref="U17:X17"/>
    <mergeCell ref="C22:F22"/>
    <mergeCell ref="G22:I22"/>
    <mergeCell ref="J22:K22"/>
    <mergeCell ref="U22:X22"/>
    <mergeCell ref="C23:F23"/>
    <mergeCell ref="G23:I23"/>
    <mergeCell ref="J23:K23"/>
    <mergeCell ref="U23:X23"/>
    <mergeCell ref="C20:F20"/>
    <mergeCell ref="G20:I20"/>
    <mergeCell ref="J20:K20"/>
    <mergeCell ref="U20:X20"/>
    <mergeCell ref="C21:F21"/>
    <mergeCell ref="G21:I21"/>
    <mergeCell ref="J21:K21"/>
    <mergeCell ref="U21:X21"/>
    <mergeCell ref="C26:F26"/>
    <mergeCell ref="G26:I26"/>
    <mergeCell ref="J26:K26"/>
    <mergeCell ref="U26:X26"/>
    <mergeCell ref="C27:F27"/>
    <mergeCell ref="G27:I27"/>
    <mergeCell ref="J27:K27"/>
    <mergeCell ref="U27:X27"/>
    <mergeCell ref="C24:F24"/>
    <mergeCell ref="G24:I24"/>
    <mergeCell ref="J24:K24"/>
    <mergeCell ref="U24:X24"/>
    <mergeCell ref="C25:F25"/>
    <mergeCell ref="G25:I25"/>
    <mergeCell ref="J25:K25"/>
    <mergeCell ref="U25:X25"/>
    <mergeCell ref="C30:F30"/>
    <mergeCell ref="G30:I30"/>
    <mergeCell ref="J30:K30"/>
    <mergeCell ref="U30:X30"/>
    <mergeCell ref="C31:F31"/>
    <mergeCell ref="G31:I31"/>
    <mergeCell ref="J31:K31"/>
    <mergeCell ref="U31:X31"/>
    <mergeCell ref="C28:F28"/>
    <mergeCell ref="G28:I28"/>
    <mergeCell ref="J28:K28"/>
    <mergeCell ref="U28:X28"/>
    <mergeCell ref="C29:F29"/>
    <mergeCell ref="G29:I29"/>
    <mergeCell ref="J29:K29"/>
    <mergeCell ref="U29:X29"/>
    <mergeCell ref="C34:F34"/>
    <mergeCell ref="G34:I34"/>
    <mergeCell ref="J34:K34"/>
    <mergeCell ref="U34:X34"/>
    <mergeCell ref="C35:F35"/>
    <mergeCell ref="G35:I35"/>
    <mergeCell ref="J35:K35"/>
    <mergeCell ref="U35:X35"/>
    <mergeCell ref="C32:F32"/>
    <mergeCell ref="G32:I32"/>
    <mergeCell ref="J32:K32"/>
    <mergeCell ref="U32:X32"/>
    <mergeCell ref="C33:F33"/>
    <mergeCell ref="G33:I33"/>
    <mergeCell ref="J33:K33"/>
    <mergeCell ref="U33:X33"/>
    <mergeCell ref="B38:X38"/>
    <mergeCell ref="C36:F36"/>
    <mergeCell ref="G36:I36"/>
    <mergeCell ref="J36:K36"/>
    <mergeCell ref="U36:X36"/>
    <mergeCell ref="C37:F37"/>
    <mergeCell ref="G37:I37"/>
    <mergeCell ref="J37:K37"/>
    <mergeCell ref="U37:X37"/>
  </mergeCells>
  <phoneticPr fontId="1"/>
  <conditionalFormatting sqref="J9:K9 J16:K37">
    <cfRule type="expression" dxfId="179" priority="10">
      <formula>ISERROR(AB9)</formula>
    </cfRule>
    <cfRule type="expression" dxfId="178" priority="11">
      <formula>ISBLANK(AB9)</formula>
    </cfRule>
    <cfRule type="expression" dxfId="177" priority="12">
      <formula>AND(J9&lt;&gt;"",AB9&lt;=0)</formula>
    </cfRule>
  </conditionalFormatting>
  <conditionalFormatting sqref="J8:K8">
    <cfRule type="expression" dxfId="176" priority="7">
      <formula>ISERROR(AB8)</formula>
    </cfRule>
    <cfRule type="expression" dxfId="175" priority="8">
      <formula>ISBLANK(AB8)</formula>
    </cfRule>
    <cfRule type="expression" dxfId="174" priority="9">
      <formula>AND(J8&lt;&gt;"",AB8&lt;=0)</formula>
    </cfRule>
  </conditionalFormatting>
  <conditionalFormatting sqref="J13:K15">
    <cfRule type="expression" dxfId="173" priority="4">
      <formula>ISERROR(AB13)</formula>
    </cfRule>
    <cfRule type="expression" dxfId="172" priority="5">
      <formula>ISBLANK(AB13)</formula>
    </cfRule>
    <cfRule type="expression" dxfId="171" priority="6">
      <formula>AND(J13&lt;&gt;"",AB13&lt;=0)</formula>
    </cfRule>
  </conditionalFormatting>
  <conditionalFormatting sqref="J10:K12">
    <cfRule type="expression" dxfId="170" priority="1">
      <formula>ISERROR(AB10)</formula>
    </cfRule>
    <cfRule type="expression" dxfId="169" priority="2">
      <formula>ISBLANK(AB10)</formula>
    </cfRule>
    <cfRule type="expression" dxfId="168" priority="3">
      <formula>AND(J10&lt;&gt;"",AB10&lt;=0)</formula>
    </cfRule>
  </conditionalFormatting>
  <printOptions horizontalCentered="1"/>
  <pageMargins left="0.23622047244094491" right="0.23622047244094491" top="0.39370078740157483" bottom="0.39370078740157483" header="0" footer="0"/>
  <pageSetup paperSize="9" fitToHeight="0" orientation="landscape" r:id="rId1"/>
  <headerFooter alignWithMargins="0">
    <oddFooter>&amp;L&amp;F&amp;R&amp;P / &amp;N</oddFooter>
  </headerFooter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4C09C6-DE4A-44B5-9981-6047A0ED7207}">
  <sheetPr codeName="Sheet14"/>
  <dimension ref="A1:AE43"/>
  <sheetViews>
    <sheetView showGridLines="0" view="pageBreakPreview" zoomScaleNormal="85" zoomScaleSheetLayoutView="100" workbookViewId="0">
      <selection activeCell="G8" sqref="G8:I10"/>
    </sheetView>
  </sheetViews>
  <sheetFormatPr defaultColWidth="5.625" defaultRowHeight="13.5" x14ac:dyDescent="0.15"/>
  <cols>
    <col min="1" max="16" width="5.625" style="12" customWidth="1"/>
    <col min="17" max="25" width="5.625" style="12"/>
    <col min="26" max="26" width="12.75" style="96" bestFit="1" customWidth="1"/>
    <col min="27" max="27" width="12.75" style="12" bestFit="1" customWidth="1"/>
    <col min="28" max="28" width="18.375" style="12" bestFit="1" customWidth="1"/>
    <col min="29" max="238" width="5.625" style="12"/>
    <col min="239" max="254" width="5.625" style="12" customWidth="1"/>
    <col min="255" max="494" width="5.625" style="12"/>
    <col min="495" max="510" width="5.625" style="12" customWidth="1"/>
    <col min="511" max="750" width="5.625" style="12"/>
    <col min="751" max="766" width="5.625" style="12" customWidth="1"/>
    <col min="767" max="1006" width="5.625" style="12"/>
    <col min="1007" max="1022" width="5.625" style="12" customWidth="1"/>
    <col min="1023" max="1262" width="5.625" style="12"/>
    <col min="1263" max="1278" width="5.625" style="12" customWidth="1"/>
    <col min="1279" max="1518" width="5.625" style="12"/>
    <col min="1519" max="1534" width="5.625" style="12" customWidth="1"/>
    <col min="1535" max="1774" width="5.625" style="12"/>
    <col min="1775" max="1790" width="5.625" style="12" customWidth="1"/>
    <col min="1791" max="2030" width="5.625" style="12"/>
    <col min="2031" max="2046" width="5.625" style="12" customWidth="1"/>
    <col min="2047" max="2286" width="5.625" style="12"/>
    <col min="2287" max="2302" width="5.625" style="12" customWidth="1"/>
    <col min="2303" max="2542" width="5.625" style="12"/>
    <col min="2543" max="2558" width="5.625" style="12" customWidth="1"/>
    <col min="2559" max="2798" width="5.625" style="12"/>
    <col min="2799" max="2814" width="5.625" style="12" customWidth="1"/>
    <col min="2815" max="3054" width="5.625" style="12"/>
    <col min="3055" max="3070" width="5.625" style="12" customWidth="1"/>
    <col min="3071" max="3310" width="5.625" style="12"/>
    <col min="3311" max="3326" width="5.625" style="12" customWidth="1"/>
    <col min="3327" max="3566" width="5.625" style="12"/>
    <col min="3567" max="3582" width="5.625" style="12" customWidth="1"/>
    <col min="3583" max="3822" width="5.625" style="12"/>
    <col min="3823" max="3838" width="5.625" style="12" customWidth="1"/>
    <col min="3839" max="4078" width="5.625" style="12"/>
    <col min="4079" max="4094" width="5.625" style="12" customWidth="1"/>
    <col min="4095" max="4334" width="5.625" style="12"/>
    <col min="4335" max="4350" width="5.625" style="12" customWidth="1"/>
    <col min="4351" max="4590" width="5.625" style="12"/>
    <col min="4591" max="4606" width="5.625" style="12" customWidth="1"/>
    <col min="4607" max="4846" width="5.625" style="12"/>
    <col min="4847" max="4862" width="5.625" style="12" customWidth="1"/>
    <col min="4863" max="5102" width="5.625" style="12"/>
    <col min="5103" max="5118" width="5.625" style="12" customWidth="1"/>
    <col min="5119" max="5358" width="5.625" style="12"/>
    <col min="5359" max="5374" width="5.625" style="12" customWidth="1"/>
    <col min="5375" max="5614" width="5.625" style="12"/>
    <col min="5615" max="5630" width="5.625" style="12" customWidth="1"/>
    <col min="5631" max="5870" width="5.625" style="12"/>
    <col min="5871" max="5886" width="5.625" style="12" customWidth="1"/>
    <col min="5887" max="6126" width="5.625" style="12"/>
    <col min="6127" max="6142" width="5.625" style="12" customWidth="1"/>
    <col min="6143" max="6382" width="5.625" style="12"/>
    <col min="6383" max="6398" width="5.625" style="12" customWidth="1"/>
    <col min="6399" max="6638" width="5.625" style="12"/>
    <col min="6639" max="6654" width="5.625" style="12" customWidth="1"/>
    <col min="6655" max="6894" width="5.625" style="12"/>
    <col min="6895" max="6910" width="5.625" style="12" customWidth="1"/>
    <col min="6911" max="7150" width="5.625" style="12"/>
    <col min="7151" max="7166" width="5.625" style="12" customWidth="1"/>
    <col min="7167" max="7406" width="5.625" style="12"/>
    <col min="7407" max="7422" width="5.625" style="12" customWidth="1"/>
    <col min="7423" max="7662" width="5.625" style="12"/>
    <col min="7663" max="7678" width="5.625" style="12" customWidth="1"/>
    <col min="7679" max="7918" width="5.625" style="12"/>
    <col min="7919" max="7934" width="5.625" style="12" customWidth="1"/>
    <col min="7935" max="8174" width="5.625" style="12"/>
    <col min="8175" max="8190" width="5.625" style="12" customWidth="1"/>
    <col min="8191" max="8430" width="5.625" style="12"/>
    <col min="8431" max="8446" width="5.625" style="12" customWidth="1"/>
    <col min="8447" max="8686" width="5.625" style="12"/>
    <col min="8687" max="8702" width="5.625" style="12" customWidth="1"/>
    <col min="8703" max="8942" width="5.625" style="12"/>
    <col min="8943" max="8958" width="5.625" style="12" customWidth="1"/>
    <col min="8959" max="9198" width="5.625" style="12"/>
    <col min="9199" max="9214" width="5.625" style="12" customWidth="1"/>
    <col min="9215" max="9454" width="5.625" style="12"/>
    <col min="9455" max="9470" width="5.625" style="12" customWidth="1"/>
    <col min="9471" max="9710" width="5.625" style="12"/>
    <col min="9711" max="9726" width="5.625" style="12" customWidth="1"/>
    <col min="9727" max="9966" width="5.625" style="12"/>
    <col min="9967" max="9982" width="5.625" style="12" customWidth="1"/>
    <col min="9983" max="10222" width="5.625" style="12"/>
    <col min="10223" max="10238" width="5.625" style="12" customWidth="1"/>
    <col min="10239" max="10478" width="5.625" style="12"/>
    <col min="10479" max="10494" width="5.625" style="12" customWidth="1"/>
    <col min="10495" max="10734" width="5.625" style="12"/>
    <col min="10735" max="10750" width="5.625" style="12" customWidth="1"/>
    <col min="10751" max="10990" width="5.625" style="12"/>
    <col min="10991" max="11006" width="5.625" style="12" customWidth="1"/>
    <col min="11007" max="11246" width="5.625" style="12"/>
    <col min="11247" max="11262" width="5.625" style="12" customWidth="1"/>
    <col min="11263" max="11502" width="5.625" style="12"/>
    <col min="11503" max="11518" width="5.625" style="12" customWidth="1"/>
    <col min="11519" max="11758" width="5.625" style="12"/>
    <col min="11759" max="11774" width="5.625" style="12" customWidth="1"/>
    <col min="11775" max="12014" width="5.625" style="12"/>
    <col min="12015" max="12030" width="5.625" style="12" customWidth="1"/>
    <col min="12031" max="12270" width="5.625" style="12"/>
    <col min="12271" max="12286" width="5.625" style="12" customWidth="1"/>
    <col min="12287" max="12526" width="5.625" style="12"/>
    <col min="12527" max="12542" width="5.625" style="12" customWidth="1"/>
    <col min="12543" max="12782" width="5.625" style="12"/>
    <col min="12783" max="12798" width="5.625" style="12" customWidth="1"/>
    <col min="12799" max="13038" width="5.625" style="12"/>
    <col min="13039" max="13054" width="5.625" style="12" customWidth="1"/>
    <col min="13055" max="13294" width="5.625" style="12"/>
    <col min="13295" max="13310" width="5.625" style="12" customWidth="1"/>
    <col min="13311" max="13550" width="5.625" style="12"/>
    <col min="13551" max="13566" width="5.625" style="12" customWidth="1"/>
    <col min="13567" max="13806" width="5.625" style="12"/>
    <col min="13807" max="13822" width="5.625" style="12" customWidth="1"/>
    <col min="13823" max="14062" width="5.625" style="12"/>
    <col min="14063" max="14078" width="5.625" style="12" customWidth="1"/>
    <col min="14079" max="14318" width="5.625" style="12"/>
    <col min="14319" max="14334" width="5.625" style="12" customWidth="1"/>
    <col min="14335" max="14574" width="5.625" style="12"/>
    <col min="14575" max="14590" width="5.625" style="12" customWidth="1"/>
    <col min="14591" max="14830" width="5.625" style="12"/>
    <col min="14831" max="14846" width="5.625" style="12" customWidth="1"/>
    <col min="14847" max="15086" width="5.625" style="12"/>
    <col min="15087" max="15102" width="5.625" style="12" customWidth="1"/>
    <col min="15103" max="15342" width="5.625" style="12"/>
    <col min="15343" max="15358" width="5.625" style="12" customWidth="1"/>
    <col min="15359" max="15598" width="5.625" style="12"/>
    <col min="15599" max="15614" width="5.625" style="12" customWidth="1"/>
    <col min="15615" max="15854" width="5.625" style="12"/>
    <col min="15855" max="15870" width="5.625" style="12" customWidth="1"/>
    <col min="15871" max="16110" width="5.625" style="12"/>
    <col min="16111" max="16126" width="5.625" style="12" customWidth="1"/>
    <col min="16127" max="16384" width="5.625" style="12"/>
  </cols>
  <sheetData>
    <row r="1" spans="1:31" ht="13.5" customHeight="1" x14ac:dyDescent="0.15">
      <c r="A1" s="260" t="s">
        <v>81</v>
      </c>
      <c r="B1" s="261"/>
      <c r="C1" s="261"/>
      <c r="D1" s="261"/>
      <c r="E1" s="261"/>
      <c r="F1" s="262"/>
      <c r="G1" s="311" t="s">
        <v>5</v>
      </c>
      <c r="H1" s="312"/>
      <c r="I1" s="313"/>
      <c r="J1" s="21"/>
      <c r="K1" s="94"/>
      <c r="L1" s="94"/>
      <c r="M1" s="94"/>
      <c r="N1" s="94"/>
      <c r="O1" s="94"/>
      <c r="P1" s="311" t="s">
        <v>8</v>
      </c>
      <c r="Q1" s="313"/>
      <c r="R1" s="311" t="s">
        <v>7</v>
      </c>
      <c r="S1" s="312"/>
      <c r="T1" s="313"/>
      <c r="U1" s="311" t="s">
        <v>9</v>
      </c>
      <c r="V1" s="313"/>
      <c r="W1" s="311" t="s">
        <v>10</v>
      </c>
      <c r="X1" s="312"/>
      <c r="Y1" s="313"/>
      <c r="Z1" s="107"/>
      <c r="AA1" s="12" t="s">
        <v>128</v>
      </c>
      <c r="AE1" s="12" t="s">
        <v>124</v>
      </c>
    </row>
    <row r="2" spans="1:31" ht="13.5" customHeight="1" x14ac:dyDescent="0.15">
      <c r="A2" s="266"/>
      <c r="B2" s="267"/>
      <c r="C2" s="267"/>
      <c r="D2" s="267"/>
      <c r="E2" s="267"/>
      <c r="F2" s="268"/>
      <c r="G2" s="311" t="s">
        <v>6</v>
      </c>
      <c r="H2" s="312"/>
      <c r="I2" s="313"/>
      <c r="J2" s="21"/>
      <c r="K2" s="95"/>
      <c r="L2" s="95"/>
      <c r="M2" s="95"/>
      <c r="N2" s="95"/>
      <c r="O2" s="95"/>
      <c r="P2" s="246"/>
      <c r="Q2" s="247"/>
      <c r="R2" s="273"/>
      <c r="S2" s="274"/>
      <c r="T2" s="275"/>
      <c r="U2" s="246"/>
      <c r="V2" s="247"/>
      <c r="W2" s="273"/>
      <c r="X2" s="274"/>
      <c r="Y2" s="275"/>
      <c r="Z2" s="107"/>
      <c r="AA2" s="12">
        <f>SUM(AB:AB)</f>
        <v>12</v>
      </c>
    </row>
    <row r="3" spans="1:31" ht="13.5" customHeight="1" x14ac:dyDescent="0.15">
      <c r="A3" s="311" t="s">
        <v>82</v>
      </c>
      <c r="B3" s="312"/>
      <c r="C3" s="21" t="str">
        <f ca="1">RIGHT(CELL("filename",A2),LEN(CELL("filename",A2))-FIND("]",CELL("filename",A2)))</f>
        <v>説明定数ﾏｽﾀ</v>
      </c>
      <c r="D3" s="95"/>
      <c r="E3" s="95"/>
      <c r="F3" s="95"/>
      <c r="G3" s="311" t="s">
        <v>83</v>
      </c>
      <c r="H3" s="312"/>
      <c r="I3" s="313"/>
      <c r="J3" s="21" t="s">
        <v>240</v>
      </c>
      <c r="K3" s="95"/>
      <c r="L3" s="95"/>
      <c r="M3" s="95"/>
      <c r="N3" s="95"/>
      <c r="O3" s="95"/>
      <c r="P3" s="248"/>
      <c r="Q3" s="249"/>
      <c r="R3" s="276"/>
      <c r="S3" s="277"/>
      <c r="T3" s="278"/>
      <c r="U3" s="248"/>
      <c r="V3" s="249"/>
      <c r="W3" s="276"/>
      <c r="X3" s="277"/>
      <c r="Y3" s="278"/>
      <c r="Z3" s="107"/>
    </row>
    <row r="4" spans="1:31" x14ac:dyDescent="0.15">
      <c r="A4" s="86"/>
      <c r="B4" s="18"/>
      <c r="C4" s="18"/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  <c r="O4" s="18"/>
      <c r="P4" s="18"/>
      <c r="Q4" s="18"/>
      <c r="R4" s="18"/>
      <c r="S4" s="18"/>
      <c r="T4" s="18"/>
      <c r="U4" s="18"/>
      <c r="V4" s="18"/>
      <c r="W4" s="18"/>
      <c r="X4" s="18"/>
      <c r="Y4" s="18"/>
      <c r="Z4" s="92"/>
    </row>
    <row r="5" spans="1:31" ht="13.5" customHeight="1" x14ac:dyDescent="0.15">
      <c r="A5" s="83" t="s">
        <v>93</v>
      </c>
      <c r="B5" s="84"/>
      <c r="C5" s="84"/>
      <c r="D5" s="84"/>
      <c r="E5" s="84"/>
      <c r="F5" s="84"/>
      <c r="G5" s="84"/>
      <c r="H5" s="84"/>
      <c r="I5" s="84"/>
      <c r="J5" s="84"/>
      <c r="K5" s="84"/>
      <c r="L5" s="84"/>
      <c r="M5" s="84"/>
      <c r="N5" s="84"/>
      <c r="O5" s="84"/>
      <c r="P5" s="84"/>
      <c r="Q5" s="84"/>
      <c r="R5" s="84"/>
      <c r="S5" s="84"/>
      <c r="T5" s="84"/>
      <c r="U5" s="84"/>
      <c r="V5" s="84"/>
      <c r="W5" s="84"/>
      <c r="X5" s="84"/>
      <c r="Y5" s="85"/>
      <c r="Z5" s="92"/>
    </row>
    <row r="6" spans="1:31" x14ac:dyDescent="0.15">
      <c r="A6" s="164"/>
      <c r="B6" s="165"/>
      <c r="C6" s="165"/>
      <c r="D6" s="165"/>
      <c r="E6" s="165"/>
      <c r="F6" s="165"/>
      <c r="G6" s="165"/>
      <c r="H6" s="165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165"/>
      <c r="U6" s="165"/>
      <c r="V6" s="165"/>
      <c r="W6" s="165"/>
      <c r="X6" s="165"/>
      <c r="Y6" s="166"/>
      <c r="Z6" s="92"/>
    </row>
    <row r="7" spans="1:31" x14ac:dyDescent="0.15">
      <c r="A7" s="17"/>
      <c r="B7" s="163" t="s">
        <v>84</v>
      </c>
      <c r="C7" s="311" t="s">
        <v>205</v>
      </c>
      <c r="D7" s="312"/>
      <c r="E7" s="312"/>
      <c r="F7" s="313"/>
      <c r="G7" s="311" t="s">
        <v>83</v>
      </c>
      <c r="H7" s="312"/>
      <c r="I7" s="313"/>
      <c r="J7" s="311" t="s">
        <v>85</v>
      </c>
      <c r="K7" s="313"/>
      <c r="L7" s="97" t="s">
        <v>86</v>
      </c>
      <c r="M7" s="97" t="s">
        <v>87</v>
      </c>
      <c r="N7" s="97" t="s">
        <v>121</v>
      </c>
      <c r="O7" s="97" t="s">
        <v>88</v>
      </c>
      <c r="P7" s="97" t="s">
        <v>89</v>
      </c>
      <c r="Q7" s="97" t="s">
        <v>89</v>
      </c>
      <c r="R7" s="97" t="s">
        <v>89</v>
      </c>
      <c r="S7" s="97" t="s">
        <v>89</v>
      </c>
      <c r="T7" s="97" t="s">
        <v>89</v>
      </c>
      <c r="U7" s="311" t="s">
        <v>90</v>
      </c>
      <c r="V7" s="312"/>
      <c r="W7" s="312"/>
      <c r="X7" s="313"/>
      <c r="Y7" s="98"/>
      <c r="Z7" s="96" t="s">
        <v>126</v>
      </c>
      <c r="AA7" s="12" t="s">
        <v>127</v>
      </c>
      <c r="AB7" s="12" t="s">
        <v>125</v>
      </c>
    </row>
    <row r="8" spans="1:31" x14ac:dyDescent="0.15">
      <c r="A8" s="17"/>
      <c r="B8" s="99" t="s">
        <v>94</v>
      </c>
      <c r="C8" s="301" t="s">
        <v>227</v>
      </c>
      <c r="D8" s="302"/>
      <c r="E8" s="302"/>
      <c r="F8" s="303"/>
      <c r="G8" s="304">
        <v>1</v>
      </c>
      <c r="H8" s="305"/>
      <c r="I8" s="306"/>
      <c r="J8" s="304" t="s">
        <v>91</v>
      </c>
      <c r="K8" s="306"/>
      <c r="L8" s="100">
        <v>1</v>
      </c>
      <c r="M8" s="100"/>
      <c r="N8" s="100"/>
      <c r="O8" s="100"/>
      <c r="P8" s="100"/>
      <c r="Q8" s="100"/>
      <c r="R8" s="100"/>
      <c r="S8" s="100"/>
      <c r="T8" s="100"/>
      <c r="U8" s="307" t="s">
        <v>210</v>
      </c>
      <c r="V8" s="308"/>
      <c r="W8" s="308"/>
      <c r="X8" s="309"/>
      <c r="Y8" s="98"/>
      <c r="Z8" s="106">
        <f t="shared" ref="Z8:Z16" si="0">IF(LEFT(J8,7)="decimal",INT(MID(J8,9,FIND(",",J8,9)-9)),0)</f>
        <v>0</v>
      </c>
      <c r="AA8" s="105">
        <f t="shared" ref="AA8:AA37" si="1">IF(J8="varbinary(max)",2147483647,IF(J8="bit",1,IF(LEFT(J8,4)="char",INT(MID(J8,6,LEN(J8)-6)),IF(LEFT(J8,7)="varchar",INT(MID(J8,9,LEN(J8)-9)+2),IF(LEFT(J8,8)="nvarchar",INT(MID(J8,10,LEN(J8)-10)*2+2),IF(LEFT(J8,7)="decimal",IF(Z8&lt;10,5,IF(Z8&lt;20,9,IF(Z8&lt;29,13,17))),0))))))</f>
        <v>0</v>
      </c>
      <c r="AB8" s="105">
        <f t="shared" ref="AB8:AB37" si="2">IF(AA8&gt;0,AA8,IF(J8="date",3,IF(OR(J8="int",J8="real"),4,IF(J8="time",5,IF(OR(J8="datetime",J8="float",J8="datetime2"),8,IF(J8="uniqueidentifier",16,0))))))</f>
        <v>4</v>
      </c>
    </row>
    <row r="9" spans="1:31" x14ac:dyDescent="0.15">
      <c r="A9" s="17"/>
      <c r="B9" s="99">
        <f>B8+1</f>
        <v>2</v>
      </c>
      <c r="C9" s="301" t="s">
        <v>220</v>
      </c>
      <c r="D9" s="302"/>
      <c r="E9" s="302"/>
      <c r="F9" s="303"/>
      <c r="G9" s="304">
        <v>1</v>
      </c>
      <c r="H9" s="305"/>
      <c r="I9" s="306"/>
      <c r="J9" s="304" t="s">
        <v>214</v>
      </c>
      <c r="K9" s="306"/>
      <c r="L9" s="100"/>
      <c r="M9" s="162" t="s">
        <v>92</v>
      </c>
      <c r="N9" s="100">
        <v>0</v>
      </c>
      <c r="O9" s="100"/>
      <c r="P9" s="100"/>
      <c r="Q9" s="100"/>
      <c r="R9" s="100"/>
      <c r="S9" s="100"/>
      <c r="T9" s="100"/>
      <c r="U9" s="301"/>
      <c r="V9" s="302"/>
      <c r="W9" s="302"/>
      <c r="X9" s="303"/>
      <c r="Y9" s="98"/>
      <c r="Z9" s="106">
        <f t="shared" si="0"/>
        <v>0</v>
      </c>
      <c r="AA9" s="105">
        <f t="shared" si="1"/>
        <v>0</v>
      </c>
      <c r="AB9" s="105">
        <f t="shared" si="2"/>
        <v>4</v>
      </c>
    </row>
    <row r="10" spans="1:31" x14ac:dyDescent="0.15">
      <c r="A10" s="17"/>
      <c r="B10" s="99">
        <f t="shared" ref="B10:B37" si="3">B9+1</f>
        <v>3</v>
      </c>
      <c r="C10" s="301" t="s">
        <v>221</v>
      </c>
      <c r="D10" s="302"/>
      <c r="E10" s="302"/>
      <c r="F10" s="303"/>
      <c r="G10" s="304">
        <v>1</v>
      </c>
      <c r="H10" s="305"/>
      <c r="I10" s="306"/>
      <c r="J10" s="304" t="s">
        <v>214</v>
      </c>
      <c r="K10" s="306"/>
      <c r="L10" s="100"/>
      <c r="M10" s="162" t="s">
        <v>92</v>
      </c>
      <c r="N10" s="100">
        <v>0</v>
      </c>
      <c r="O10" s="100"/>
      <c r="P10" s="100"/>
      <c r="Q10" s="100"/>
      <c r="R10" s="100"/>
      <c r="S10" s="100"/>
      <c r="T10" s="100"/>
      <c r="U10" s="301"/>
      <c r="V10" s="302"/>
      <c r="W10" s="302"/>
      <c r="X10" s="303"/>
      <c r="Y10" s="98"/>
      <c r="Z10" s="106">
        <f t="shared" si="0"/>
        <v>0</v>
      </c>
      <c r="AA10" s="105">
        <f t="shared" si="1"/>
        <v>0</v>
      </c>
      <c r="AB10" s="105">
        <f t="shared" si="2"/>
        <v>4</v>
      </c>
    </row>
    <row r="11" spans="1:31" x14ac:dyDescent="0.15">
      <c r="A11" s="17"/>
      <c r="B11" s="99">
        <f t="shared" si="3"/>
        <v>4</v>
      </c>
      <c r="C11" s="301"/>
      <c r="D11" s="302"/>
      <c r="E11" s="302"/>
      <c r="F11" s="303"/>
      <c r="G11" s="304"/>
      <c r="H11" s="305"/>
      <c r="I11" s="306"/>
      <c r="J11" s="304"/>
      <c r="K11" s="306"/>
      <c r="L11" s="100"/>
      <c r="M11" s="162"/>
      <c r="N11" s="100"/>
      <c r="O11" s="100"/>
      <c r="P11" s="100"/>
      <c r="Q11" s="100"/>
      <c r="R11" s="100"/>
      <c r="S11" s="100"/>
      <c r="T11" s="100"/>
      <c r="U11" s="301"/>
      <c r="V11" s="302"/>
      <c r="W11" s="302"/>
      <c r="X11" s="303"/>
      <c r="Y11" s="98"/>
      <c r="Z11" s="106">
        <f t="shared" si="0"/>
        <v>0</v>
      </c>
      <c r="AA11" s="105">
        <f t="shared" si="1"/>
        <v>0</v>
      </c>
      <c r="AB11" s="105">
        <f t="shared" si="2"/>
        <v>0</v>
      </c>
    </row>
    <row r="12" spans="1:31" x14ac:dyDescent="0.15">
      <c r="A12" s="17"/>
      <c r="B12" s="99">
        <f t="shared" si="3"/>
        <v>5</v>
      </c>
      <c r="C12" s="301"/>
      <c r="D12" s="302"/>
      <c r="E12" s="302"/>
      <c r="F12" s="303"/>
      <c r="G12" s="304"/>
      <c r="H12" s="305"/>
      <c r="I12" s="306"/>
      <c r="J12" s="304"/>
      <c r="K12" s="306"/>
      <c r="L12" s="100"/>
      <c r="M12" s="100"/>
      <c r="N12" s="100"/>
      <c r="O12" s="100"/>
      <c r="P12" s="100"/>
      <c r="Q12" s="100"/>
      <c r="R12" s="100"/>
      <c r="S12" s="100"/>
      <c r="T12" s="100"/>
      <c r="U12" s="301"/>
      <c r="V12" s="302"/>
      <c r="W12" s="302"/>
      <c r="X12" s="303"/>
      <c r="Y12" s="98"/>
      <c r="Z12" s="106">
        <f t="shared" si="0"/>
        <v>0</v>
      </c>
      <c r="AA12" s="105">
        <f t="shared" si="1"/>
        <v>0</v>
      </c>
      <c r="AB12" s="105">
        <f t="shared" si="2"/>
        <v>0</v>
      </c>
    </row>
    <row r="13" spans="1:31" x14ac:dyDescent="0.15">
      <c r="A13" s="17"/>
      <c r="B13" s="99">
        <f t="shared" si="3"/>
        <v>6</v>
      </c>
      <c r="C13" s="301"/>
      <c r="D13" s="302"/>
      <c r="E13" s="302"/>
      <c r="F13" s="303"/>
      <c r="G13" s="304"/>
      <c r="H13" s="305"/>
      <c r="I13" s="306"/>
      <c r="J13" s="304"/>
      <c r="K13" s="306"/>
      <c r="L13" s="100"/>
      <c r="M13" s="100"/>
      <c r="N13" s="100"/>
      <c r="O13" s="100"/>
      <c r="P13" s="100"/>
      <c r="Q13" s="100"/>
      <c r="R13" s="100"/>
      <c r="S13" s="100"/>
      <c r="T13" s="100"/>
      <c r="U13" s="301"/>
      <c r="V13" s="302"/>
      <c r="W13" s="302"/>
      <c r="X13" s="303"/>
      <c r="Y13" s="98"/>
      <c r="Z13" s="106">
        <f t="shared" si="0"/>
        <v>0</v>
      </c>
      <c r="AA13" s="105">
        <f t="shared" si="1"/>
        <v>0</v>
      </c>
      <c r="AB13" s="105">
        <f>IF(AA13&gt;0,AA13,IF(J13="date",3,IF(OR(J13="int",J13="real"),4,IF(J13="time",5,IF(OR(J13="datetime",J13="float",J13="datetime2"),8,IF(J13="uniqueidentifier",16,0))))))</f>
        <v>0</v>
      </c>
    </row>
    <row r="14" spans="1:31" x14ac:dyDescent="0.15">
      <c r="A14" s="17"/>
      <c r="B14" s="99">
        <f t="shared" si="3"/>
        <v>7</v>
      </c>
      <c r="C14" s="301"/>
      <c r="D14" s="302"/>
      <c r="E14" s="302"/>
      <c r="F14" s="303"/>
      <c r="G14" s="304"/>
      <c r="H14" s="305"/>
      <c r="I14" s="306"/>
      <c r="J14" s="304"/>
      <c r="K14" s="306"/>
      <c r="L14" s="100"/>
      <c r="M14" s="100"/>
      <c r="N14" s="100"/>
      <c r="O14" s="100"/>
      <c r="P14" s="100"/>
      <c r="Q14" s="100"/>
      <c r="R14" s="100"/>
      <c r="S14" s="100"/>
      <c r="T14" s="100"/>
      <c r="U14" s="301"/>
      <c r="V14" s="302"/>
      <c r="W14" s="302"/>
      <c r="X14" s="303"/>
      <c r="Y14" s="98"/>
      <c r="Z14" s="106">
        <f t="shared" si="0"/>
        <v>0</v>
      </c>
      <c r="AA14" s="105">
        <f t="shared" si="1"/>
        <v>0</v>
      </c>
      <c r="AB14" s="105">
        <f t="shared" si="2"/>
        <v>0</v>
      </c>
    </row>
    <row r="15" spans="1:31" x14ac:dyDescent="0.15">
      <c r="A15" s="101"/>
      <c r="B15" s="99">
        <f t="shared" si="3"/>
        <v>8</v>
      </c>
      <c r="C15" s="301"/>
      <c r="D15" s="302"/>
      <c r="E15" s="302"/>
      <c r="F15" s="303"/>
      <c r="G15" s="304"/>
      <c r="H15" s="305"/>
      <c r="I15" s="306"/>
      <c r="J15" s="304"/>
      <c r="K15" s="306"/>
      <c r="L15" s="100"/>
      <c r="M15" s="100"/>
      <c r="N15" s="100"/>
      <c r="O15" s="100"/>
      <c r="P15" s="100"/>
      <c r="Q15" s="100"/>
      <c r="R15" s="100"/>
      <c r="S15" s="100"/>
      <c r="T15" s="100"/>
      <c r="U15" s="301"/>
      <c r="V15" s="302"/>
      <c r="W15" s="302"/>
      <c r="X15" s="303"/>
      <c r="Y15" s="98"/>
      <c r="Z15" s="106">
        <f t="shared" si="0"/>
        <v>0</v>
      </c>
      <c r="AA15" s="105">
        <f t="shared" si="1"/>
        <v>0</v>
      </c>
      <c r="AB15" s="105">
        <f t="shared" si="2"/>
        <v>0</v>
      </c>
    </row>
    <row r="16" spans="1:31" x14ac:dyDescent="0.15">
      <c r="A16" s="101"/>
      <c r="B16" s="99">
        <f t="shared" si="3"/>
        <v>9</v>
      </c>
      <c r="C16" s="301"/>
      <c r="D16" s="302"/>
      <c r="E16" s="302"/>
      <c r="F16" s="303"/>
      <c r="G16" s="304"/>
      <c r="H16" s="305"/>
      <c r="I16" s="306"/>
      <c r="J16" s="304"/>
      <c r="K16" s="306"/>
      <c r="L16" s="100"/>
      <c r="M16" s="100"/>
      <c r="N16" s="100"/>
      <c r="O16" s="100"/>
      <c r="P16" s="100"/>
      <c r="Q16" s="100"/>
      <c r="R16" s="100"/>
      <c r="S16" s="100"/>
      <c r="T16" s="100"/>
      <c r="U16" s="301"/>
      <c r="V16" s="302"/>
      <c r="W16" s="302"/>
      <c r="X16" s="303"/>
      <c r="Y16" s="98"/>
      <c r="Z16" s="106">
        <f t="shared" si="0"/>
        <v>0</v>
      </c>
      <c r="AA16" s="105">
        <f t="shared" si="1"/>
        <v>0</v>
      </c>
      <c r="AB16" s="105">
        <f t="shared" si="2"/>
        <v>0</v>
      </c>
    </row>
    <row r="17" spans="1:28" x14ac:dyDescent="0.15">
      <c r="A17" s="101"/>
      <c r="B17" s="99">
        <f t="shared" si="3"/>
        <v>10</v>
      </c>
      <c r="C17" s="301"/>
      <c r="D17" s="302"/>
      <c r="E17" s="302"/>
      <c r="F17" s="303"/>
      <c r="G17" s="304"/>
      <c r="H17" s="305"/>
      <c r="I17" s="306"/>
      <c r="J17" s="304"/>
      <c r="K17" s="306"/>
      <c r="L17" s="100"/>
      <c r="M17" s="162"/>
      <c r="N17" s="100"/>
      <c r="O17" s="100"/>
      <c r="P17" s="100"/>
      <c r="Q17" s="100"/>
      <c r="R17" s="100"/>
      <c r="S17" s="100"/>
      <c r="T17" s="100"/>
      <c r="U17" s="301"/>
      <c r="V17" s="302"/>
      <c r="W17" s="302"/>
      <c r="X17" s="303"/>
      <c r="Y17" s="98"/>
      <c r="Z17" s="106">
        <f>IF(LEFT(J17,7)="decimal",INT(MID(J17,9,FIND(",",J17,9)-9)),0)</f>
        <v>0</v>
      </c>
      <c r="AA17" s="105">
        <f t="shared" si="1"/>
        <v>0</v>
      </c>
      <c r="AB17" s="105">
        <f t="shared" si="2"/>
        <v>0</v>
      </c>
    </row>
    <row r="18" spans="1:28" x14ac:dyDescent="0.15">
      <c r="A18" s="101"/>
      <c r="B18" s="99">
        <f t="shared" si="3"/>
        <v>11</v>
      </c>
      <c r="C18" s="301"/>
      <c r="D18" s="302"/>
      <c r="E18" s="302"/>
      <c r="F18" s="303"/>
      <c r="G18" s="304"/>
      <c r="H18" s="305"/>
      <c r="I18" s="306"/>
      <c r="J18" s="304"/>
      <c r="K18" s="306"/>
      <c r="L18" s="100"/>
      <c r="M18" s="100"/>
      <c r="N18" s="100"/>
      <c r="O18" s="100"/>
      <c r="P18" s="100"/>
      <c r="Q18" s="100"/>
      <c r="R18" s="100"/>
      <c r="S18" s="100"/>
      <c r="T18" s="100"/>
      <c r="U18" s="301"/>
      <c r="V18" s="302"/>
      <c r="W18" s="302"/>
      <c r="X18" s="303"/>
      <c r="Y18" s="98"/>
      <c r="Z18" s="106">
        <f t="shared" ref="Z18:Z37" si="4">IF(LEFT(J18,7)="decimal",INT(MID(J18,9,FIND(",",J18,9)-9)),0)</f>
        <v>0</v>
      </c>
      <c r="AA18" s="105">
        <f t="shared" si="1"/>
        <v>0</v>
      </c>
      <c r="AB18" s="105">
        <f t="shared" si="2"/>
        <v>0</v>
      </c>
    </row>
    <row r="19" spans="1:28" x14ac:dyDescent="0.15">
      <c r="A19" s="101"/>
      <c r="B19" s="99">
        <f t="shared" si="3"/>
        <v>12</v>
      </c>
      <c r="C19" s="301"/>
      <c r="D19" s="302"/>
      <c r="E19" s="302"/>
      <c r="F19" s="303"/>
      <c r="G19" s="304"/>
      <c r="H19" s="305"/>
      <c r="I19" s="306"/>
      <c r="J19" s="304"/>
      <c r="K19" s="306"/>
      <c r="L19" s="100"/>
      <c r="M19" s="100"/>
      <c r="N19" s="100"/>
      <c r="O19" s="100"/>
      <c r="P19" s="100"/>
      <c r="Q19" s="100"/>
      <c r="R19" s="100"/>
      <c r="S19" s="100"/>
      <c r="T19" s="100"/>
      <c r="U19" s="301"/>
      <c r="V19" s="302"/>
      <c r="W19" s="302"/>
      <c r="X19" s="303"/>
      <c r="Y19" s="98"/>
      <c r="Z19" s="106">
        <f t="shared" si="4"/>
        <v>0</v>
      </c>
      <c r="AA19" s="105">
        <f t="shared" si="1"/>
        <v>0</v>
      </c>
      <c r="AB19" s="105">
        <f t="shared" si="2"/>
        <v>0</v>
      </c>
    </row>
    <row r="20" spans="1:28" x14ac:dyDescent="0.15">
      <c r="A20" s="101"/>
      <c r="B20" s="99">
        <f t="shared" si="3"/>
        <v>13</v>
      </c>
      <c r="C20" s="301"/>
      <c r="D20" s="302"/>
      <c r="E20" s="302"/>
      <c r="F20" s="303"/>
      <c r="G20" s="304"/>
      <c r="H20" s="305"/>
      <c r="I20" s="306"/>
      <c r="J20" s="304"/>
      <c r="K20" s="306"/>
      <c r="L20" s="100"/>
      <c r="M20" s="100"/>
      <c r="N20" s="100"/>
      <c r="O20" s="100"/>
      <c r="P20" s="100"/>
      <c r="Q20" s="100"/>
      <c r="R20" s="100"/>
      <c r="S20" s="100"/>
      <c r="T20" s="100"/>
      <c r="U20" s="301"/>
      <c r="V20" s="302"/>
      <c r="W20" s="302"/>
      <c r="X20" s="303"/>
      <c r="Y20" s="98"/>
      <c r="Z20" s="106">
        <f t="shared" si="4"/>
        <v>0</v>
      </c>
      <c r="AA20" s="105">
        <f t="shared" si="1"/>
        <v>0</v>
      </c>
      <c r="AB20" s="105">
        <f t="shared" si="2"/>
        <v>0</v>
      </c>
    </row>
    <row r="21" spans="1:28" x14ac:dyDescent="0.15">
      <c r="A21" s="101"/>
      <c r="B21" s="99">
        <f t="shared" si="3"/>
        <v>14</v>
      </c>
      <c r="C21" s="301"/>
      <c r="D21" s="302"/>
      <c r="E21" s="302"/>
      <c r="F21" s="303"/>
      <c r="G21" s="304"/>
      <c r="H21" s="305"/>
      <c r="I21" s="306"/>
      <c r="J21" s="304"/>
      <c r="K21" s="306"/>
      <c r="L21" s="100"/>
      <c r="M21" s="100"/>
      <c r="N21" s="100"/>
      <c r="O21" s="100"/>
      <c r="P21" s="100"/>
      <c r="Q21" s="100"/>
      <c r="R21" s="100"/>
      <c r="S21" s="100"/>
      <c r="T21" s="100"/>
      <c r="U21" s="301"/>
      <c r="V21" s="302"/>
      <c r="W21" s="302"/>
      <c r="X21" s="303"/>
      <c r="Y21" s="98"/>
      <c r="Z21" s="106">
        <f t="shared" si="4"/>
        <v>0</v>
      </c>
      <c r="AA21" s="105">
        <f t="shared" si="1"/>
        <v>0</v>
      </c>
      <c r="AB21" s="105">
        <f t="shared" si="2"/>
        <v>0</v>
      </c>
    </row>
    <row r="22" spans="1:28" x14ac:dyDescent="0.15">
      <c r="A22" s="101"/>
      <c r="B22" s="99">
        <f t="shared" si="3"/>
        <v>15</v>
      </c>
      <c r="C22" s="301"/>
      <c r="D22" s="302"/>
      <c r="E22" s="302"/>
      <c r="F22" s="303"/>
      <c r="G22" s="304"/>
      <c r="H22" s="305"/>
      <c r="I22" s="306"/>
      <c r="J22" s="304"/>
      <c r="K22" s="306"/>
      <c r="L22" s="100"/>
      <c r="M22" s="100"/>
      <c r="N22" s="100"/>
      <c r="O22" s="100"/>
      <c r="P22" s="100"/>
      <c r="Q22" s="100"/>
      <c r="R22" s="100"/>
      <c r="S22" s="100"/>
      <c r="T22" s="100"/>
      <c r="U22" s="301"/>
      <c r="V22" s="302"/>
      <c r="W22" s="302"/>
      <c r="X22" s="303"/>
      <c r="Y22" s="98"/>
      <c r="Z22" s="106">
        <f t="shared" si="4"/>
        <v>0</v>
      </c>
      <c r="AA22" s="105">
        <f t="shared" si="1"/>
        <v>0</v>
      </c>
      <c r="AB22" s="105">
        <f t="shared" si="2"/>
        <v>0</v>
      </c>
    </row>
    <row r="23" spans="1:28" x14ac:dyDescent="0.15">
      <c r="A23" s="101"/>
      <c r="B23" s="99">
        <f t="shared" si="3"/>
        <v>16</v>
      </c>
      <c r="C23" s="301"/>
      <c r="D23" s="302"/>
      <c r="E23" s="302"/>
      <c r="F23" s="303"/>
      <c r="G23" s="304"/>
      <c r="H23" s="305"/>
      <c r="I23" s="306"/>
      <c r="J23" s="304"/>
      <c r="K23" s="306"/>
      <c r="L23" s="100"/>
      <c r="M23" s="100"/>
      <c r="N23" s="100"/>
      <c r="O23" s="100"/>
      <c r="P23" s="100"/>
      <c r="Q23" s="100"/>
      <c r="R23" s="100"/>
      <c r="S23" s="100"/>
      <c r="T23" s="100"/>
      <c r="U23" s="301"/>
      <c r="V23" s="302"/>
      <c r="W23" s="302"/>
      <c r="X23" s="303"/>
      <c r="Y23" s="98"/>
      <c r="Z23" s="106">
        <f t="shared" si="4"/>
        <v>0</v>
      </c>
      <c r="AA23" s="105">
        <f t="shared" si="1"/>
        <v>0</v>
      </c>
      <c r="AB23" s="105">
        <f t="shared" si="2"/>
        <v>0</v>
      </c>
    </row>
    <row r="24" spans="1:28" x14ac:dyDescent="0.15">
      <c r="A24" s="101"/>
      <c r="B24" s="99">
        <f t="shared" si="3"/>
        <v>17</v>
      </c>
      <c r="C24" s="301"/>
      <c r="D24" s="302"/>
      <c r="E24" s="302"/>
      <c r="F24" s="303"/>
      <c r="G24" s="304"/>
      <c r="H24" s="305"/>
      <c r="I24" s="306"/>
      <c r="J24" s="304"/>
      <c r="K24" s="306"/>
      <c r="L24" s="100"/>
      <c r="M24" s="100"/>
      <c r="N24" s="100"/>
      <c r="O24" s="100"/>
      <c r="P24" s="100"/>
      <c r="Q24" s="100"/>
      <c r="R24" s="100"/>
      <c r="S24" s="100"/>
      <c r="T24" s="100"/>
      <c r="U24" s="301"/>
      <c r="V24" s="302"/>
      <c r="W24" s="302"/>
      <c r="X24" s="303"/>
      <c r="Y24" s="98"/>
      <c r="Z24" s="106">
        <f t="shared" si="4"/>
        <v>0</v>
      </c>
      <c r="AA24" s="105">
        <f t="shared" si="1"/>
        <v>0</v>
      </c>
      <c r="AB24" s="105">
        <f t="shared" si="2"/>
        <v>0</v>
      </c>
    </row>
    <row r="25" spans="1:28" x14ac:dyDescent="0.15">
      <c r="A25" s="101"/>
      <c r="B25" s="99">
        <f t="shared" si="3"/>
        <v>18</v>
      </c>
      <c r="C25" s="301"/>
      <c r="D25" s="302"/>
      <c r="E25" s="302"/>
      <c r="F25" s="303"/>
      <c r="G25" s="304"/>
      <c r="H25" s="305"/>
      <c r="I25" s="306"/>
      <c r="J25" s="304"/>
      <c r="K25" s="306"/>
      <c r="L25" s="100"/>
      <c r="M25" s="100"/>
      <c r="N25" s="100"/>
      <c r="O25" s="100"/>
      <c r="P25" s="100"/>
      <c r="Q25" s="100"/>
      <c r="R25" s="100"/>
      <c r="S25" s="100"/>
      <c r="T25" s="100"/>
      <c r="U25" s="301"/>
      <c r="V25" s="302"/>
      <c r="W25" s="302"/>
      <c r="X25" s="303"/>
      <c r="Y25" s="98"/>
      <c r="Z25" s="106">
        <f t="shared" si="4"/>
        <v>0</v>
      </c>
      <c r="AA25" s="105">
        <f t="shared" si="1"/>
        <v>0</v>
      </c>
      <c r="AB25" s="105">
        <f t="shared" si="2"/>
        <v>0</v>
      </c>
    </row>
    <row r="26" spans="1:28" x14ac:dyDescent="0.15">
      <c r="A26" s="101"/>
      <c r="B26" s="99">
        <f t="shared" si="3"/>
        <v>19</v>
      </c>
      <c r="C26" s="301"/>
      <c r="D26" s="302"/>
      <c r="E26" s="302"/>
      <c r="F26" s="303"/>
      <c r="G26" s="304"/>
      <c r="H26" s="305"/>
      <c r="I26" s="306"/>
      <c r="J26" s="304"/>
      <c r="K26" s="306"/>
      <c r="L26" s="100"/>
      <c r="M26" s="100"/>
      <c r="N26" s="100"/>
      <c r="O26" s="100"/>
      <c r="P26" s="100"/>
      <c r="Q26" s="100"/>
      <c r="R26" s="100"/>
      <c r="S26" s="100"/>
      <c r="T26" s="100"/>
      <c r="U26" s="301"/>
      <c r="V26" s="302"/>
      <c r="W26" s="302"/>
      <c r="X26" s="303"/>
      <c r="Y26" s="98"/>
      <c r="Z26" s="106">
        <f t="shared" si="4"/>
        <v>0</v>
      </c>
      <c r="AA26" s="105">
        <f t="shared" si="1"/>
        <v>0</v>
      </c>
      <c r="AB26" s="105">
        <f t="shared" si="2"/>
        <v>0</v>
      </c>
    </row>
    <row r="27" spans="1:28" x14ac:dyDescent="0.15">
      <c r="A27" s="101"/>
      <c r="B27" s="99">
        <f t="shared" si="3"/>
        <v>20</v>
      </c>
      <c r="C27" s="301"/>
      <c r="D27" s="302"/>
      <c r="E27" s="302"/>
      <c r="F27" s="303"/>
      <c r="G27" s="304"/>
      <c r="H27" s="305"/>
      <c r="I27" s="306"/>
      <c r="J27" s="304"/>
      <c r="K27" s="306"/>
      <c r="L27" s="100"/>
      <c r="M27" s="100"/>
      <c r="N27" s="100"/>
      <c r="O27" s="100"/>
      <c r="P27" s="100"/>
      <c r="Q27" s="100"/>
      <c r="R27" s="100"/>
      <c r="S27" s="100"/>
      <c r="T27" s="100"/>
      <c r="U27" s="301"/>
      <c r="V27" s="302"/>
      <c r="W27" s="302"/>
      <c r="X27" s="303"/>
      <c r="Y27" s="98"/>
      <c r="Z27" s="106">
        <f t="shared" si="4"/>
        <v>0</v>
      </c>
      <c r="AA27" s="105">
        <f t="shared" si="1"/>
        <v>0</v>
      </c>
      <c r="AB27" s="105">
        <f t="shared" si="2"/>
        <v>0</v>
      </c>
    </row>
    <row r="28" spans="1:28" x14ac:dyDescent="0.15">
      <c r="A28" s="101"/>
      <c r="B28" s="99">
        <f t="shared" si="3"/>
        <v>21</v>
      </c>
      <c r="C28" s="301"/>
      <c r="D28" s="302"/>
      <c r="E28" s="302"/>
      <c r="F28" s="303"/>
      <c r="G28" s="304"/>
      <c r="H28" s="305"/>
      <c r="I28" s="306"/>
      <c r="J28" s="304"/>
      <c r="K28" s="306"/>
      <c r="L28" s="100"/>
      <c r="M28" s="100"/>
      <c r="N28" s="100"/>
      <c r="O28" s="100"/>
      <c r="P28" s="100"/>
      <c r="Q28" s="100"/>
      <c r="R28" s="100"/>
      <c r="S28" s="100"/>
      <c r="T28" s="100"/>
      <c r="U28" s="301"/>
      <c r="V28" s="302"/>
      <c r="W28" s="302"/>
      <c r="X28" s="303"/>
      <c r="Y28" s="98"/>
      <c r="Z28" s="106">
        <f t="shared" si="4"/>
        <v>0</v>
      </c>
      <c r="AA28" s="105">
        <f t="shared" si="1"/>
        <v>0</v>
      </c>
      <c r="AB28" s="105">
        <f t="shared" si="2"/>
        <v>0</v>
      </c>
    </row>
    <row r="29" spans="1:28" x14ac:dyDescent="0.15">
      <c r="A29" s="101"/>
      <c r="B29" s="99">
        <f t="shared" si="3"/>
        <v>22</v>
      </c>
      <c r="C29" s="301"/>
      <c r="D29" s="302"/>
      <c r="E29" s="302"/>
      <c r="F29" s="303"/>
      <c r="G29" s="304"/>
      <c r="H29" s="305"/>
      <c r="I29" s="306"/>
      <c r="J29" s="304"/>
      <c r="K29" s="306"/>
      <c r="L29" s="100"/>
      <c r="M29" s="100"/>
      <c r="N29" s="100"/>
      <c r="O29" s="100"/>
      <c r="P29" s="100"/>
      <c r="Q29" s="100"/>
      <c r="R29" s="100"/>
      <c r="S29" s="100"/>
      <c r="T29" s="100"/>
      <c r="U29" s="301"/>
      <c r="V29" s="302"/>
      <c r="W29" s="302"/>
      <c r="X29" s="303"/>
      <c r="Y29" s="98"/>
      <c r="Z29" s="106">
        <f t="shared" si="4"/>
        <v>0</v>
      </c>
      <c r="AA29" s="105">
        <f t="shared" si="1"/>
        <v>0</v>
      </c>
      <c r="AB29" s="105">
        <f t="shared" si="2"/>
        <v>0</v>
      </c>
    </row>
    <row r="30" spans="1:28" x14ac:dyDescent="0.15">
      <c r="A30" s="101"/>
      <c r="B30" s="99">
        <f t="shared" si="3"/>
        <v>23</v>
      </c>
      <c r="C30" s="301"/>
      <c r="D30" s="302"/>
      <c r="E30" s="302"/>
      <c r="F30" s="303"/>
      <c r="G30" s="304"/>
      <c r="H30" s="305"/>
      <c r="I30" s="306"/>
      <c r="J30" s="304"/>
      <c r="K30" s="306"/>
      <c r="L30" s="100"/>
      <c r="M30" s="100"/>
      <c r="N30" s="100"/>
      <c r="O30" s="100"/>
      <c r="P30" s="100"/>
      <c r="Q30" s="100"/>
      <c r="R30" s="100"/>
      <c r="S30" s="100"/>
      <c r="T30" s="100"/>
      <c r="U30" s="301"/>
      <c r="V30" s="302"/>
      <c r="W30" s="302"/>
      <c r="X30" s="303"/>
      <c r="Y30" s="98"/>
      <c r="Z30" s="106">
        <f t="shared" si="4"/>
        <v>0</v>
      </c>
      <c r="AA30" s="105">
        <f t="shared" si="1"/>
        <v>0</v>
      </c>
      <c r="AB30" s="105">
        <f t="shared" si="2"/>
        <v>0</v>
      </c>
    </row>
    <row r="31" spans="1:28" x14ac:dyDescent="0.15">
      <c r="A31" s="101"/>
      <c r="B31" s="99">
        <f t="shared" si="3"/>
        <v>24</v>
      </c>
      <c r="C31" s="301"/>
      <c r="D31" s="302"/>
      <c r="E31" s="302"/>
      <c r="F31" s="303"/>
      <c r="G31" s="304"/>
      <c r="H31" s="305"/>
      <c r="I31" s="306"/>
      <c r="J31" s="304"/>
      <c r="K31" s="306"/>
      <c r="L31" s="100"/>
      <c r="M31" s="100"/>
      <c r="N31" s="100"/>
      <c r="O31" s="100"/>
      <c r="P31" s="100"/>
      <c r="Q31" s="100"/>
      <c r="R31" s="100"/>
      <c r="S31" s="100"/>
      <c r="T31" s="100"/>
      <c r="U31" s="301"/>
      <c r="V31" s="302"/>
      <c r="W31" s="302"/>
      <c r="X31" s="303"/>
      <c r="Y31" s="98"/>
      <c r="Z31" s="106">
        <f t="shared" si="4"/>
        <v>0</v>
      </c>
      <c r="AA31" s="105">
        <f t="shared" si="1"/>
        <v>0</v>
      </c>
      <c r="AB31" s="105">
        <f t="shared" si="2"/>
        <v>0</v>
      </c>
    </row>
    <row r="32" spans="1:28" x14ac:dyDescent="0.15">
      <c r="A32" s="101"/>
      <c r="B32" s="99">
        <f t="shared" si="3"/>
        <v>25</v>
      </c>
      <c r="C32" s="301"/>
      <c r="D32" s="302"/>
      <c r="E32" s="302"/>
      <c r="F32" s="303"/>
      <c r="G32" s="304"/>
      <c r="H32" s="305"/>
      <c r="I32" s="306"/>
      <c r="J32" s="304"/>
      <c r="K32" s="306"/>
      <c r="L32" s="100"/>
      <c r="M32" s="100"/>
      <c r="N32" s="100"/>
      <c r="O32" s="100"/>
      <c r="P32" s="100"/>
      <c r="Q32" s="100"/>
      <c r="R32" s="100"/>
      <c r="S32" s="100"/>
      <c r="T32" s="100"/>
      <c r="U32" s="301"/>
      <c r="V32" s="302"/>
      <c r="W32" s="302"/>
      <c r="X32" s="303"/>
      <c r="Y32" s="98"/>
      <c r="Z32" s="106">
        <f t="shared" si="4"/>
        <v>0</v>
      </c>
      <c r="AA32" s="105">
        <f t="shared" si="1"/>
        <v>0</v>
      </c>
      <c r="AB32" s="105">
        <f t="shared" si="2"/>
        <v>0</v>
      </c>
    </row>
    <row r="33" spans="1:28" x14ac:dyDescent="0.15">
      <c r="A33" s="101"/>
      <c r="B33" s="99">
        <f t="shared" si="3"/>
        <v>26</v>
      </c>
      <c r="C33" s="301"/>
      <c r="D33" s="302"/>
      <c r="E33" s="302"/>
      <c r="F33" s="303"/>
      <c r="G33" s="304"/>
      <c r="H33" s="305"/>
      <c r="I33" s="306"/>
      <c r="J33" s="304"/>
      <c r="K33" s="306"/>
      <c r="L33" s="100"/>
      <c r="M33" s="100"/>
      <c r="N33" s="100"/>
      <c r="O33" s="100"/>
      <c r="P33" s="100"/>
      <c r="Q33" s="100"/>
      <c r="R33" s="100"/>
      <c r="S33" s="100"/>
      <c r="T33" s="100"/>
      <c r="U33" s="301"/>
      <c r="V33" s="302"/>
      <c r="W33" s="302"/>
      <c r="X33" s="303"/>
      <c r="Y33" s="98"/>
      <c r="Z33" s="106">
        <f t="shared" si="4"/>
        <v>0</v>
      </c>
      <c r="AA33" s="105">
        <f t="shared" si="1"/>
        <v>0</v>
      </c>
      <c r="AB33" s="105">
        <f t="shared" si="2"/>
        <v>0</v>
      </c>
    </row>
    <row r="34" spans="1:28" x14ac:dyDescent="0.15">
      <c r="A34" s="101"/>
      <c r="B34" s="99">
        <f t="shared" si="3"/>
        <v>27</v>
      </c>
      <c r="C34" s="301"/>
      <c r="D34" s="302"/>
      <c r="E34" s="302"/>
      <c r="F34" s="303"/>
      <c r="G34" s="304"/>
      <c r="H34" s="305"/>
      <c r="I34" s="306"/>
      <c r="J34" s="304"/>
      <c r="K34" s="306"/>
      <c r="L34" s="100"/>
      <c r="M34" s="100"/>
      <c r="N34" s="100"/>
      <c r="O34" s="100"/>
      <c r="P34" s="100"/>
      <c r="Q34" s="100"/>
      <c r="R34" s="100"/>
      <c r="S34" s="100"/>
      <c r="T34" s="100"/>
      <c r="U34" s="301"/>
      <c r="V34" s="302"/>
      <c r="W34" s="302"/>
      <c r="X34" s="303"/>
      <c r="Y34" s="98"/>
      <c r="Z34" s="106">
        <f t="shared" si="4"/>
        <v>0</v>
      </c>
      <c r="AA34" s="105">
        <f t="shared" si="1"/>
        <v>0</v>
      </c>
      <c r="AB34" s="105">
        <f t="shared" si="2"/>
        <v>0</v>
      </c>
    </row>
    <row r="35" spans="1:28" x14ac:dyDescent="0.15">
      <c r="A35" s="101"/>
      <c r="B35" s="99">
        <f t="shared" si="3"/>
        <v>28</v>
      </c>
      <c r="C35" s="301"/>
      <c r="D35" s="302"/>
      <c r="E35" s="302"/>
      <c r="F35" s="303"/>
      <c r="G35" s="304"/>
      <c r="H35" s="305"/>
      <c r="I35" s="306"/>
      <c r="J35" s="304"/>
      <c r="K35" s="306"/>
      <c r="L35" s="100"/>
      <c r="M35" s="100"/>
      <c r="N35" s="100"/>
      <c r="O35" s="100"/>
      <c r="P35" s="100"/>
      <c r="Q35" s="100"/>
      <c r="R35" s="100"/>
      <c r="S35" s="100"/>
      <c r="T35" s="100"/>
      <c r="U35" s="301"/>
      <c r="V35" s="302"/>
      <c r="W35" s="302"/>
      <c r="X35" s="303"/>
      <c r="Y35" s="98"/>
      <c r="Z35" s="106">
        <f t="shared" si="4"/>
        <v>0</v>
      </c>
      <c r="AA35" s="105">
        <f t="shared" si="1"/>
        <v>0</v>
      </c>
      <c r="AB35" s="105">
        <f t="shared" si="2"/>
        <v>0</v>
      </c>
    </row>
    <row r="36" spans="1:28" x14ac:dyDescent="0.15">
      <c r="A36" s="101"/>
      <c r="B36" s="99">
        <f t="shared" si="3"/>
        <v>29</v>
      </c>
      <c r="C36" s="301"/>
      <c r="D36" s="302"/>
      <c r="E36" s="302"/>
      <c r="F36" s="303"/>
      <c r="G36" s="304"/>
      <c r="H36" s="305"/>
      <c r="I36" s="306"/>
      <c r="J36" s="304"/>
      <c r="K36" s="306"/>
      <c r="L36" s="100"/>
      <c r="M36" s="100"/>
      <c r="N36" s="100"/>
      <c r="O36" s="100"/>
      <c r="P36" s="100"/>
      <c r="Q36" s="100"/>
      <c r="R36" s="100"/>
      <c r="S36" s="100"/>
      <c r="T36" s="100"/>
      <c r="U36" s="301"/>
      <c r="V36" s="302"/>
      <c r="W36" s="302"/>
      <c r="X36" s="303"/>
      <c r="Y36" s="98"/>
      <c r="Z36" s="106">
        <f t="shared" si="4"/>
        <v>0</v>
      </c>
      <c r="AA36" s="105">
        <f t="shared" si="1"/>
        <v>0</v>
      </c>
      <c r="AB36" s="105">
        <f t="shared" si="2"/>
        <v>0</v>
      </c>
    </row>
    <row r="37" spans="1:28" x14ac:dyDescent="0.15">
      <c r="A37" s="101"/>
      <c r="B37" s="99">
        <f t="shared" si="3"/>
        <v>30</v>
      </c>
      <c r="C37" s="301"/>
      <c r="D37" s="302"/>
      <c r="E37" s="302"/>
      <c r="F37" s="303"/>
      <c r="G37" s="304"/>
      <c r="H37" s="305"/>
      <c r="I37" s="306"/>
      <c r="J37" s="304"/>
      <c r="K37" s="306"/>
      <c r="L37" s="100"/>
      <c r="M37" s="100"/>
      <c r="N37" s="100"/>
      <c r="O37" s="100"/>
      <c r="P37" s="100"/>
      <c r="Q37" s="100"/>
      <c r="R37" s="100"/>
      <c r="S37" s="100"/>
      <c r="T37" s="100"/>
      <c r="U37" s="301"/>
      <c r="V37" s="302"/>
      <c r="W37" s="302"/>
      <c r="X37" s="303"/>
      <c r="Y37" s="98"/>
      <c r="Z37" s="106">
        <f t="shared" si="4"/>
        <v>0</v>
      </c>
      <c r="AA37" s="105">
        <f t="shared" si="1"/>
        <v>0</v>
      </c>
      <c r="AB37" s="105">
        <f t="shared" si="2"/>
        <v>0</v>
      </c>
    </row>
    <row r="38" spans="1:28" x14ac:dyDescent="0.15">
      <c r="A38" s="101"/>
      <c r="B38" s="298" t="s">
        <v>122</v>
      </c>
      <c r="C38" s="299"/>
      <c r="D38" s="299"/>
      <c r="E38" s="299"/>
      <c r="F38" s="299"/>
      <c r="G38" s="299"/>
      <c r="H38" s="299"/>
      <c r="I38" s="299"/>
      <c r="J38" s="299"/>
      <c r="K38" s="299"/>
      <c r="L38" s="299"/>
      <c r="M38" s="299"/>
      <c r="N38" s="299"/>
      <c r="O38" s="299"/>
      <c r="P38" s="299"/>
      <c r="Q38" s="299"/>
      <c r="R38" s="299"/>
      <c r="S38" s="299"/>
      <c r="T38" s="299"/>
      <c r="U38" s="299"/>
      <c r="V38" s="299"/>
      <c r="W38" s="299"/>
      <c r="X38" s="300"/>
      <c r="Y38" s="98"/>
      <c r="Z38" s="92"/>
    </row>
    <row r="39" spans="1:28" x14ac:dyDescent="0.15">
      <c r="A39" s="101"/>
      <c r="B39" s="101"/>
      <c r="C39" s="92"/>
      <c r="D39" s="92"/>
      <c r="E39" s="92"/>
      <c r="F39" s="92"/>
      <c r="G39" s="92"/>
      <c r="H39" s="92"/>
      <c r="I39" s="92"/>
      <c r="J39" s="92"/>
      <c r="K39" s="92"/>
      <c r="L39" s="92"/>
      <c r="M39" s="92"/>
      <c r="N39" s="92"/>
      <c r="O39" s="92"/>
      <c r="P39" s="92"/>
      <c r="Q39" s="92"/>
      <c r="R39" s="92"/>
      <c r="S39" s="92"/>
      <c r="T39" s="92"/>
      <c r="U39" s="92"/>
      <c r="V39" s="92"/>
      <c r="W39" s="92"/>
      <c r="X39" s="98"/>
      <c r="Y39" s="98"/>
      <c r="Z39" s="92"/>
    </row>
    <row r="40" spans="1:28" x14ac:dyDescent="0.15">
      <c r="A40" s="101"/>
      <c r="B40" s="101"/>
      <c r="C40" s="92"/>
      <c r="D40" s="92"/>
      <c r="E40" s="92"/>
      <c r="F40" s="92"/>
      <c r="G40" s="92"/>
      <c r="H40" s="92"/>
      <c r="I40" s="92"/>
      <c r="J40" s="92"/>
      <c r="K40" s="92"/>
      <c r="L40" s="92"/>
      <c r="M40" s="92"/>
      <c r="N40" s="92"/>
      <c r="O40" s="92"/>
      <c r="P40" s="92"/>
      <c r="Q40" s="92"/>
      <c r="R40" s="92"/>
      <c r="S40" s="92"/>
      <c r="T40" s="92"/>
      <c r="U40" s="92"/>
      <c r="V40" s="92"/>
      <c r="W40" s="92"/>
      <c r="X40" s="98"/>
      <c r="Y40" s="98"/>
      <c r="Z40" s="92"/>
    </row>
    <row r="41" spans="1:28" x14ac:dyDescent="0.15">
      <c r="A41" s="101"/>
      <c r="B41" s="101"/>
      <c r="C41" s="92"/>
      <c r="D41" s="92"/>
      <c r="E41" s="92"/>
      <c r="F41" s="92"/>
      <c r="G41" s="92"/>
      <c r="H41" s="92"/>
      <c r="I41" s="92"/>
      <c r="J41" s="92"/>
      <c r="K41" s="92"/>
      <c r="L41" s="92"/>
      <c r="M41" s="92"/>
      <c r="N41" s="92"/>
      <c r="O41" s="92"/>
      <c r="P41" s="92"/>
      <c r="Q41" s="92"/>
      <c r="R41" s="92"/>
      <c r="S41" s="92"/>
      <c r="T41" s="92"/>
      <c r="U41" s="92"/>
      <c r="V41" s="92"/>
      <c r="W41" s="92"/>
      <c r="X41" s="98"/>
      <c r="Y41" s="98"/>
      <c r="Z41" s="92"/>
    </row>
    <row r="42" spans="1:28" x14ac:dyDescent="0.15">
      <c r="A42" s="101"/>
      <c r="B42" s="102"/>
      <c r="C42" s="93"/>
      <c r="D42" s="93"/>
      <c r="E42" s="93"/>
      <c r="F42" s="93"/>
      <c r="G42" s="93"/>
      <c r="H42" s="93"/>
      <c r="I42" s="93"/>
      <c r="J42" s="93"/>
      <c r="K42" s="93"/>
      <c r="L42" s="93"/>
      <c r="M42" s="93"/>
      <c r="N42" s="93"/>
      <c r="O42" s="93"/>
      <c r="P42" s="93"/>
      <c r="Q42" s="93"/>
      <c r="R42" s="93"/>
      <c r="S42" s="93"/>
      <c r="T42" s="93"/>
      <c r="U42" s="93"/>
      <c r="V42" s="93"/>
      <c r="W42" s="93"/>
      <c r="X42" s="103"/>
      <c r="Y42" s="98"/>
      <c r="Z42" s="92"/>
    </row>
    <row r="43" spans="1:28" x14ac:dyDescent="0.15">
      <c r="A43" s="102"/>
      <c r="B43" s="93"/>
      <c r="C43" s="93"/>
      <c r="D43" s="93"/>
      <c r="E43" s="93"/>
      <c r="F43" s="93"/>
      <c r="G43" s="93"/>
      <c r="H43" s="93"/>
      <c r="I43" s="93"/>
      <c r="J43" s="93"/>
      <c r="K43" s="93"/>
      <c r="L43" s="93"/>
      <c r="M43" s="93"/>
      <c r="N43" s="93"/>
      <c r="O43" s="93"/>
      <c r="P43" s="93"/>
      <c r="Q43" s="93"/>
      <c r="R43" s="93"/>
      <c r="S43" s="93"/>
      <c r="T43" s="93"/>
      <c r="U43" s="93"/>
      <c r="V43" s="93"/>
      <c r="W43" s="93"/>
      <c r="X43" s="93"/>
      <c r="Y43" s="103"/>
      <c r="Z43" s="92"/>
    </row>
  </sheetData>
  <mergeCells count="138">
    <mergeCell ref="W2:Y3"/>
    <mergeCell ref="A3:B3"/>
    <mergeCell ref="G3:I3"/>
    <mergeCell ref="C7:F7"/>
    <mergeCell ref="G7:I7"/>
    <mergeCell ref="J7:K7"/>
    <mergeCell ref="U7:X7"/>
    <mergeCell ref="A1:F2"/>
    <mergeCell ref="G1:I1"/>
    <mergeCell ref="P1:Q1"/>
    <mergeCell ref="R1:T1"/>
    <mergeCell ref="U1:V1"/>
    <mergeCell ref="W1:Y1"/>
    <mergeCell ref="G2:I2"/>
    <mergeCell ref="P2:Q3"/>
    <mergeCell ref="R2:T3"/>
    <mergeCell ref="U2:V3"/>
    <mergeCell ref="C10:F10"/>
    <mergeCell ref="G10:I10"/>
    <mergeCell ref="J10:K10"/>
    <mergeCell ref="U10:X10"/>
    <mergeCell ref="C11:F11"/>
    <mergeCell ref="G11:I11"/>
    <mergeCell ref="J11:K11"/>
    <mergeCell ref="U11:X11"/>
    <mergeCell ref="C8:F8"/>
    <mergeCell ref="G8:I8"/>
    <mergeCell ref="J8:K8"/>
    <mergeCell ref="U8:X8"/>
    <mergeCell ref="C9:F9"/>
    <mergeCell ref="G9:I9"/>
    <mergeCell ref="J9:K9"/>
    <mergeCell ref="U9:X9"/>
    <mergeCell ref="C14:F14"/>
    <mergeCell ref="G14:I14"/>
    <mergeCell ref="J14:K14"/>
    <mergeCell ref="U14:X14"/>
    <mergeCell ref="C15:F15"/>
    <mergeCell ref="G15:I15"/>
    <mergeCell ref="J15:K15"/>
    <mergeCell ref="U15:X15"/>
    <mergeCell ref="C12:F12"/>
    <mergeCell ref="G12:I12"/>
    <mergeCell ref="J12:K12"/>
    <mergeCell ref="U12:X12"/>
    <mergeCell ref="C13:F13"/>
    <mergeCell ref="G13:I13"/>
    <mergeCell ref="J13:K13"/>
    <mergeCell ref="U13:X13"/>
    <mergeCell ref="C18:F18"/>
    <mergeCell ref="G18:I18"/>
    <mergeCell ref="J18:K18"/>
    <mergeCell ref="U18:X18"/>
    <mergeCell ref="C19:F19"/>
    <mergeCell ref="G19:I19"/>
    <mergeCell ref="J19:K19"/>
    <mergeCell ref="U19:X19"/>
    <mergeCell ref="C16:F16"/>
    <mergeCell ref="G16:I16"/>
    <mergeCell ref="J16:K16"/>
    <mergeCell ref="U16:X16"/>
    <mergeCell ref="C17:F17"/>
    <mergeCell ref="G17:I17"/>
    <mergeCell ref="J17:K17"/>
    <mergeCell ref="U17:X17"/>
    <mergeCell ref="C22:F22"/>
    <mergeCell ref="G22:I22"/>
    <mergeCell ref="J22:K22"/>
    <mergeCell ref="U22:X22"/>
    <mergeCell ref="C23:F23"/>
    <mergeCell ref="G23:I23"/>
    <mergeCell ref="J23:K23"/>
    <mergeCell ref="U23:X23"/>
    <mergeCell ref="C20:F20"/>
    <mergeCell ref="G20:I20"/>
    <mergeCell ref="J20:K20"/>
    <mergeCell ref="U20:X20"/>
    <mergeCell ref="C21:F21"/>
    <mergeCell ref="G21:I21"/>
    <mergeCell ref="J21:K21"/>
    <mergeCell ref="U21:X21"/>
    <mergeCell ref="C26:F26"/>
    <mergeCell ref="G26:I26"/>
    <mergeCell ref="J26:K26"/>
    <mergeCell ref="U26:X26"/>
    <mergeCell ref="C27:F27"/>
    <mergeCell ref="G27:I27"/>
    <mergeCell ref="J27:K27"/>
    <mergeCell ref="U27:X27"/>
    <mergeCell ref="C24:F24"/>
    <mergeCell ref="G24:I24"/>
    <mergeCell ref="J24:K24"/>
    <mergeCell ref="U24:X24"/>
    <mergeCell ref="C25:F25"/>
    <mergeCell ref="G25:I25"/>
    <mergeCell ref="J25:K25"/>
    <mergeCell ref="U25:X25"/>
    <mergeCell ref="C30:F30"/>
    <mergeCell ref="G30:I30"/>
    <mergeCell ref="J30:K30"/>
    <mergeCell ref="U30:X30"/>
    <mergeCell ref="C31:F31"/>
    <mergeCell ref="G31:I31"/>
    <mergeCell ref="J31:K31"/>
    <mergeCell ref="U31:X31"/>
    <mergeCell ref="C28:F28"/>
    <mergeCell ref="G28:I28"/>
    <mergeCell ref="J28:K28"/>
    <mergeCell ref="U28:X28"/>
    <mergeCell ref="C29:F29"/>
    <mergeCell ref="G29:I29"/>
    <mergeCell ref="J29:K29"/>
    <mergeCell ref="U29:X29"/>
    <mergeCell ref="C34:F34"/>
    <mergeCell ref="G34:I34"/>
    <mergeCell ref="J34:K34"/>
    <mergeCell ref="U34:X34"/>
    <mergeCell ref="C35:F35"/>
    <mergeCell ref="G35:I35"/>
    <mergeCell ref="J35:K35"/>
    <mergeCell ref="U35:X35"/>
    <mergeCell ref="C32:F32"/>
    <mergeCell ref="G32:I32"/>
    <mergeCell ref="J32:K32"/>
    <mergeCell ref="U32:X32"/>
    <mergeCell ref="C33:F33"/>
    <mergeCell ref="G33:I33"/>
    <mergeCell ref="J33:K33"/>
    <mergeCell ref="U33:X33"/>
    <mergeCell ref="B38:X38"/>
    <mergeCell ref="C36:F36"/>
    <mergeCell ref="G36:I36"/>
    <mergeCell ref="J36:K36"/>
    <mergeCell ref="U36:X36"/>
    <mergeCell ref="C37:F37"/>
    <mergeCell ref="G37:I37"/>
    <mergeCell ref="J37:K37"/>
    <mergeCell ref="U37:X37"/>
  </mergeCells>
  <phoneticPr fontId="1"/>
  <conditionalFormatting sqref="J12:K16 J18:K37">
    <cfRule type="expression" dxfId="167" priority="16">
      <formula>ISERROR(AB12)</formula>
    </cfRule>
    <cfRule type="expression" dxfId="166" priority="17">
      <formula>ISBLANK(AB12)</formula>
    </cfRule>
    <cfRule type="expression" dxfId="165" priority="18">
      <formula>AND(J12&lt;&gt;"",AB12&lt;=0)</formula>
    </cfRule>
  </conditionalFormatting>
  <conditionalFormatting sqref="J8:K8">
    <cfRule type="expression" dxfId="164" priority="13">
      <formula>ISERROR(AB8)</formula>
    </cfRule>
    <cfRule type="expression" dxfId="163" priority="14">
      <formula>ISBLANK(AB8)</formula>
    </cfRule>
    <cfRule type="expression" dxfId="162" priority="15">
      <formula>AND(J8&lt;&gt;"",AB8&lt;=0)</formula>
    </cfRule>
  </conditionalFormatting>
  <conditionalFormatting sqref="J9:K9">
    <cfRule type="expression" dxfId="161" priority="10">
      <formula>ISERROR(AB9)</formula>
    </cfRule>
    <cfRule type="expression" dxfId="160" priority="11">
      <formula>ISBLANK(AB9)</formula>
    </cfRule>
    <cfRule type="expression" dxfId="159" priority="12">
      <formula>AND(J9&lt;&gt;"",AB9&lt;=0)</formula>
    </cfRule>
  </conditionalFormatting>
  <conditionalFormatting sqref="J10:K10">
    <cfRule type="expression" dxfId="158" priority="7">
      <formula>ISERROR(AB10)</formula>
    </cfRule>
    <cfRule type="expression" dxfId="157" priority="8">
      <formula>ISBLANK(AB10)</formula>
    </cfRule>
    <cfRule type="expression" dxfId="156" priority="9">
      <formula>AND(J10&lt;&gt;"",AB10&lt;=0)</formula>
    </cfRule>
  </conditionalFormatting>
  <conditionalFormatting sqref="J11:K11">
    <cfRule type="expression" dxfId="155" priority="4">
      <formula>ISERROR(AB11)</formula>
    </cfRule>
    <cfRule type="expression" dxfId="154" priority="5">
      <formula>ISBLANK(AB11)</formula>
    </cfRule>
    <cfRule type="expression" dxfId="153" priority="6">
      <formula>AND(J11&lt;&gt;"",AB11&lt;=0)</formula>
    </cfRule>
  </conditionalFormatting>
  <conditionalFormatting sqref="J17:K17">
    <cfRule type="expression" dxfId="152" priority="1">
      <formula>ISERROR(AB17)</formula>
    </cfRule>
    <cfRule type="expression" dxfId="151" priority="2">
      <formula>ISBLANK(AB17)</formula>
    </cfRule>
    <cfRule type="expression" dxfId="150" priority="3">
      <formula>AND(J17&lt;&gt;"",AB17&lt;=0)</formula>
    </cfRule>
  </conditionalFormatting>
  <printOptions horizontalCentered="1"/>
  <pageMargins left="0.23622047244094491" right="0.23622047244094491" top="0.39370078740157483" bottom="0.39370078740157483" header="0" footer="0"/>
  <pageSetup paperSize="9" fitToHeight="0" orientation="landscape" r:id="rId1"/>
  <headerFooter alignWithMargins="0">
    <oddFooter>&amp;L&amp;F&amp;R&amp;P / &amp;N</oddFooter>
  </headerFooter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B31953-1CB1-4F20-BCDE-CD1993585BB5}">
  <sheetPr codeName="Sheet22"/>
  <dimension ref="A1:AE43"/>
  <sheetViews>
    <sheetView showGridLines="0" view="pageBreakPreview" zoomScaleNormal="85" zoomScaleSheetLayoutView="100" workbookViewId="0">
      <selection activeCell="U11" sqref="C9:X11"/>
    </sheetView>
  </sheetViews>
  <sheetFormatPr defaultColWidth="5.625" defaultRowHeight="13.5" x14ac:dyDescent="0.15"/>
  <cols>
    <col min="1" max="16" width="5.625" style="12" customWidth="1"/>
    <col min="17" max="25" width="5.625" style="12"/>
    <col min="26" max="26" width="12.75" style="96" bestFit="1" customWidth="1"/>
    <col min="27" max="27" width="12.75" style="12" bestFit="1" customWidth="1"/>
    <col min="28" max="28" width="18.375" style="12" bestFit="1" customWidth="1"/>
    <col min="29" max="238" width="5.625" style="12"/>
    <col min="239" max="254" width="5.625" style="12" customWidth="1"/>
    <col min="255" max="494" width="5.625" style="12"/>
    <col min="495" max="510" width="5.625" style="12" customWidth="1"/>
    <col min="511" max="750" width="5.625" style="12"/>
    <col min="751" max="766" width="5.625" style="12" customWidth="1"/>
    <col min="767" max="1006" width="5.625" style="12"/>
    <col min="1007" max="1022" width="5.625" style="12" customWidth="1"/>
    <col min="1023" max="1262" width="5.625" style="12"/>
    <col min="1263" max="1278" width="5.625" style="12" customWidth="1"/>
    <col min="1279" max="1518" width="5.625" style="12"/>
    <col min="1519" max="1534" width="5.625" style="12" customWidth="1"/>
    <col min="1535" max="1774" width="5.625" style="12"/>
    <col min="1775" max="1790" width="5.625" style="12" customWidth="1"/>
    <col min="1791" max="2030" width="5.625" style="12"/>
    <col min="2031" max="2046" width="5.625" style="12" customWidth="1"/>
    <col min="2047" max="2286" width="5.625" style="12"/>
    <col min="2287" max="2302" width="5.625" style="12" customWidth="1"/>
    <col min="2303" max="2542" width="5.625" style="12"/>
    <col min="2543" max="2558" width="5.625" style="12" customWidth="1"/>
    <col min="2559" max="2798" width="5.625" style="12"/>
    <col min="2799" max="2814" width="5.625" style="12" customWidth="1"/>
    <col min="2815" max="3054" width="5.625" style="12"/>
    <col min="3055" max="3070" width="5.625" style="12" customWidth="1"/>
    <col min="3071" max="3310" width="5.625" style="12"/>
    <col min="3311" max="3326" width="5.625" style="12" customWidth="1"/>
    <col min="3327" max="3566" width="5.625" style="12"/>
    <col min="3567" max="3582" width="5.625" style="12" customWidth="1"/>
    <col min="3583" max="3822" width="5.625" style="12"/>
    <col min="3823" max="3838" width="5.625" style="12" customWidth="1"/>
    <col min="3839" max="4078" width="5.625" style="12"/>
    <col min="4079" max="4094" width="5.625" style="12" customWidth="1"/>
    <col min="4095" max="4334" width="5.625" style="12"/>
    <col min="4335" max="4350" width="5.625" style="12" customWidth="1"/>
    <col min="4351" max="4590" width="5.625" style="12"/>
    <col min="4591" max="4606" width="5.625" style="12" customWidth="1"/>
    <col min="4607" max="4846" width="5.625" style="12"/>
    <col min="4847" max="4862" width="5.625" style="12" customWidth="1"/>
    <col min="4863" max="5102" width="5.625" style="12"/>
    <col min="5103" max="5118" width="5.625" style="12" customWidth="1"/>
    <col min="5119" max="5358" width="5.625" style="12"/>
    <col min="5359" max="5374" width="5.625" style="12" customWidth="1"/>
    <col min="5375" max="5614" width="5.625" style="12"/>
    <col min="5615" max="5630" width="5.625" style="12" customWidth="1"/>
    <col min="5631" max="5870" width="5.625" style="12"/>
    <col min="5871" max="5886" width="5.625" style="12" customWidth="1"/>
    <col min="5887" max="6126" width="5.625" style="12"/>
    <col min="6127" max="6142" width="5.625" style="12" customWidth="1"/>
    <col min="6143" max="6382" width="5.625" style="12"/>
    <col min="6383" max="6398" width="5.625" style="12" customWidth="1"/>
    <col min="6399" max="6638" width="5.625" style="12"/>
    <col min="6639" max="6654" width="5.625" style="12" customWidth="1"/>
    <col min="6655" max="6894" width="5.625" style="12"/>
    <col min="6895" max="6910" width="5.625" style="12" customWidth="1"/>
    <col min="6911" max="7150" width="5.625" style="12"/>
    <col min="7151" max="7166" width="5.625" style="12" customWidth="1"/>
    <col min="7167" max="7406" width="5.625" style="12"/>
    <col min="7407" max="7422" width="5.625" style="12" customWidth="1"/>
    <col min="7423" max="7662" width="5.625" style="12"/>
    <col min="7663" max="7678" width="5.625" style="12" customWidth="1"/>
    <col min="7679" max="7918" width="5.625" style="12"/>
    <col min="7919" max="7934" width="5.625" style="12" customWidth="1"/>
    <col min="7935" max="8174" width="5.625" style="12"/>
    <col min="8175" max="8190" width="5.625" style="12" customWidth="1"/>
    <col min="8191" max="8430" width="5.625" style="12"/>
    <col min="8431" max="8446" width="5.625" style="12" customWidth="1"/>
    <col min="8447" max="8686" width="5.625" style="12"/>
    <col min="8687" max="8702" width="5.625" style="12" customWidth="1"/>
    <col min="8703" max="8942" width="5.625" style="12"/>
    <col min="8943" max="8958" width="5.625" style="12" customWidth="1"/>
    <col min="8959" max="9198" width="5.625" style="12"/>
    <col min="9199" max="9214" width="5.625" style="12" customWidth="1"/>
    <col min="9215" max="9454" width="5.625" style="12"/>
    <col min="9455" max="9470" width="5.625" style="12" customWidth="1"/>
    <col min="9471" max="9710" width="5.625" style="12"/>
    <col min="9711" max="9726" width="5.625" style="12" customWidth="1"/>
    <col min="9727" max="9966" width="5.625" style="12"/>
    <col min="9967" max="9982" width="5.625" style="12" customWidth="1"/>
    <col min="9983" max="10222" width="5.625" style="12"/>
    <col min="10223" max="10238" width="5.625" style="12" customWidth="1"/>
    <col min="10239" max="10478" width="5.625" style="12"/>
    <col min="10479" max="10494" width="5.625" style="12" customWidth="1"/>
    <col min="10495" max="10734" width="5.625" style="12"/>
    <col min="10735" max="10750" width="5.625" style="12" customWidth="1"/>
    <col min="10751" max="10990" width="5.625" style="12"/>
    <col min="10991" max="11006" width="5.625" style="12" customWidth="1"/>
    <col min="11007" max="11246" width="5.625" style="12"/>
    <col min="11247" max="11262" width="5.625" style="12" customWidth="1"/>
    <col min="11263" max="11502" width="5.625" style="12"/>
    <col min="11503" max="11518" width="5.625" style="12" customWidth="1"/>
    <col min="11519" max="11758" width="5.625" style="12"/>
    <col min="11759" max="11774" width="5.625" style="12" customWidth="1"/>
    <col min="11775" max="12014" width="5.625" style="12"/>
    <col min="12015" max="12030" width="5.625" style="12" customWidth="1"/>
    <col min="12031" max="12270" width="5.625" style="12"/>
    <col min="12271" max="12286" width="5.625" style="12" customWidth="1"/>
    <col min="12287" max="12526" width="5.625" style="12"/>
    <col min="12527" max="12542" width="5.625" style="12" customWidth="1"/>
    <col min="12543" max="12782" width="5.625" style="12"/>
    <col min="12783" max="12798" width="5.625" style="12" customWidth="1"/>
    <col min="12799" max="13038" width="5.625" style="12"/>
    <col min="13039" max="13054" width="5.625" style="12" customWidth="1"/>
    <col min="13055" max="13294" width="5.625" style="12"/>
    <col min="13295" max="13310" width="5.625" style="12" customWidth="1"/>
    <col min="13311" max="13550" width="5.625" style="12"/>
    <col min="13551" max="13566" width="5.625" style="12" customWidth="1"/>
    <col min="13567" max="13806" width="5.625" style="12"/>
    <col min="13807" max="13822" width="5.625" style="12" customWidth="1"/>
    <col min="13823" max="14062" width="5.625" style="12"/>
    <col min="14063" max="14078" width="5.625" style="12" customWidth="1"/>
    <col min="14079" max="14318" width="5.625" style="12"/>
    <col min="14319" max="14334" width="5.625" style="12" customWidth="1"/>
    <col min="14335" max="14574" width="5.625" style="12"/>
    <col min="14575" max="14590" width="5.625" style="12" customWidth="1"/>
    <col min="14591" max="14830" width="5.625" style="12"/>
    <col min="14831" max="14846" width="5.625" style="12" customWidth="1"/>
    <col min="14847" max="15086" width="5.625" style="12"/>
    <col min="15087" max="15102" width="5.625" style="12" customWidth="1"/>
    <col min="15103" max="15342" width="5.625" style="12"/>
    <col min="15343" max="15358" width="5.625" style="12" customWidth="1"/>
    <col min="15359" max="15598" width="5.625" style="12"/>
    <col min="15599" max="15614" width="5.625" style="12" customWidth="1"/>
    <col min="15615" max="15854" width="5.625" style="12"/>
    <col min="15855" max="15870" width="5.625" style="12" customWidth="1"/>
    <col min="15871" max="16110" width="5.625" style="12"/>
    <col min="16111" max="16126" width="5.625" style="12" customWidth="1"/>
    <col min="16127" max="16384" width="5.625" style="12"/>
  </cols>
  <sheetData>
    <row r="1" spans="1:31" ht="13.5" customHeight="1" x14ac:dyDescent="0.15">
      <c r="A1" s="260" t="s">
        <v>81</v>
      </c>
      <c r="B1" s="261"/>
      <c r="C1" s="261"/>
      <c r="D1" s="261"/>
      <c r="E1" s="261"/>
      <c r="F1" s="262"/>
      <c r="G1" s="311" t="s">
        <v>5</v>
      </c>
      <c r="H1" s="312"/>
      <c r="I1" s="313"/>
      <c r="J1" s="21"/>
      <c r="K1" s="94"/>
      <c r="L1" s="94"/>
      <c r="M1" s="94"/>
      <c r="N1" s="94"/>
      <c r="O1" s="94"/>
      <c r="P1" s="311" t="s">
        <v>8</v>
      </c>
      <c r="Q1" s="313"/>
      <c r="R1" s="311" t="s">
        <v>7</v>
      </c>
      <c r="S1" s="312"/>
      <c r="T1" s="313"/>
      <c r="U1" s="311" t="s">
        <v>9</v>
      </c>
      <c r="V1" s="313"/>
      <c r="W1" s="311" t="s">
        <v>10</v>
      </c>
      <c r="X1" s="312"/>
      <c r="Y1" s="313"/>
      <c r="Z1" s="107"/>
      <c r="AA1" s="12" t="s">
        <v>128</v>
      </c>
      <c r="AE1" s="12" t="s">
        <v>124</v>
      </c>
    </row>
    <row r="2" spans="1:31" ht="13.5" customHeight="1" x14ac:dyDescent="0.15">
      <c r="A2" s="266"/>
      <c r="B2" s="267"/>
      <c r="C2" s="267"/>
      <c r="D2" s="267"/>
      <c r="E2" s="267"/>
      <c r="F2" s="268"/>
      <c r="G2" s="311" t="s">
        <v>6</v>
      </c>
      <c r="H2" s="312"/>
      <c r="I2" s="313"/>
      <c r="J2" s="21"/>
      <c r="K2" s="95"/>
      <c r="L2" s="95"/>
      <c r="M2" s="95"/>
      <c r="N2" s="95"/>
      <c r="O2" s="95"/>
      <c r="P2" s="246"/>
      <c r="Q2" s="247"/>
      <c r="R2" s="273"/>
      <c r="S2" s="274"/>
      <c r="T2" s="275"/>
      <c r="U2" s="246"/>
      <c r="V2" s="247"/>
      <c r="W2" s="273"/>
      <c r="X2" s="274"/>
      <c r="Y2" s="275"/>
      <c r="Z2" s="107"/>
      <c r="AA2" s="12">
        <f>SUM(AB:AB)</f>
        <v>16</v>
      </c>
    </row>
    <row r="3" spans="1:31" ht="13.5" customHeight="1" x14ac:dyDescent="0.15">
      <c r="A3" s="311" t="s">
        <v>82</v>
      </c>
      <c r="B3" s="312"/>
      <c r="C3" s="21" t="str">
        <f ca="1">RIGHT(CELL("filename",A2),LEN(CELL("filename",A2))-FIND("]",CELL("filename",A2)))</f>
        <v>ｲﾝｼﾃﾞﾝﾄ緊急度ﾏｽﾀ</v>
      </c>
      <c r="D3" s="95"/>
      <c r="E3" s="95"/>
      <c r="F3" s="95"/>
      <c r="G3" s="311" t="s">
        <v>83</v>
      </c>
      <c r="H3" s="312"/>
      <c r="I3" s="313"/>
      <c r="J3" s="21" t="s">
        <v>240</v>
      </c>
      <c r="K3" s="95"/>
      <c r="L3" s="95"/>
      <c r="M3" s="95"/>
      <c r="N3" s="95"/>
      <c r="O3" s="95"/>
      <c r="P3" s="248"/>
      <c r="Q3" s="249"/>
      <c r="R3" s="276"/>
      <c r="S3" s="277"/>
      <c r="T3" s="278"/>
      <c r="U3" s="248"/>
      <c r="V3" s="249"/>
      <c r="W3" s="276"/>
      <c r="X3" s="277"/>
      <c r="Y3" s="278"/>
      <c r="Z3" s="107"/>
    </row>
    <row r="4" spans="1:31" x14ac:dyDescent="0.15">
      <c r="A4" s="86"/>
      <c r="B4" s="18"/>
      <c r="C4" s="18"/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  <c r="O4" s="18"/>
      <c r="P4" s="18"/>
      <c r="Q4" s="18"/>
      <c r="R4" s="18"/>
      <c r="S4" s="18"/>
      <c r="T4" s="18"/>
      <c r="U4" s="18"/>
      <c r="V4" s="18"/>
      <c r="W4" s="18"/>
      <c r="X4" s="18"/>
      <c r="Y4" s="18"/>
      <c r="Z4" s="92"/>
    </row>
    <row r="5" spans="1:31" ht="13.5" customHeight="1" x14ac:dyDescent="0.15">
      <c r="A5" s="83" t="s">
        <v>93</v>
      </c>
      <c r="B5" s="84"/>
      <c r="C5" s="84"/>
      <c r="D5" s="84"/>
      <c r="E5" s="84"/>
      <c r="F5" s="84"/>
      <c r="G5" s="84"/>
      <c r="H5" s="84"/>
      <c r="I5" s="84"/>
      <c r="J5" s="84"/>
      <c r="K5" s="84"/>
      <c r="L5" s="84"/>
      <c r="M5" s="84"/>
      <c r="N5" s="84"/>
      <c r="O5" s="84"/>
      <c r="P5" s="84"/>
      <c r="Q5" s="84"/>
      <c r="R5" s="84"/>
      <c r="S5" s="84"/>
      <c r="T5" s="84"/>
      <c r="U5" s="84"/>
      <c r="V5" s="84"/>
      <c r="W5" s="84"/>
      <c r="X5" s="84"/>
      <c r="Y5" s="85"/>
      <c r="Z5" s="92"/>
    </row>
    <row r="6" spans="1:31" x14ac:dyDescent="0.15">
      <c r="A6" s="175"/>
      <c r="B6" s="176"/>
      <c r="C6" s="176"/>
      <c r="D6" s="176"/>
      <c r="E6" s="176"/>
      <c r="F6" s="176"/>
      <c r="G6" s="176"/>
      <c r="H6" s="176"/>
      <c r="I6" s="176"/>
      <c r="J6" s="176"/>
      <c r="K6" s="176"/>
      <c r="L6" s="176"/>
      <c r="M6" s="176"/>
      <c r="N6" s="176"/>
      <c r="O6" s="176"/>
      <c r="P6" s="176"/>
      <c r="Q6" s="176"/>
      <c r="R6" s="176"/>
      <c r="S6" s="176"/>
      <c r="T6" s="176"/>
      <c r="U6" s="176"/>
      <c r="V6" s="176"/>
      <c r="W6" s="176"/>
      <c r="X6" s="176"/>
      <c r="Y6" s="177"/>
      <c r="Z6" s="92"/>
    </row>
    <row r="7" spans="1:31" x14ac:dyDescent="0.15">
      <c r="A7" s="17"/>
      <c r="B7" s="170" t="s">
        <v>84</v>
      </c>
      <c r="C7" s="311" t="s">
        <v>205</v>
      </c>
      <c r="D7" s="312"/>
      <c r="E7" s="312"/>
      <c r="F7" s="313"/>
      <c r="G7" s="311" t="s">
        <v>83</v>
      </c>
      <c r="H7" s="312"/>
      <c r="I7" s="313"/>
      <c r="J7" s="311" t="s">
        <v>85</v>
      </c>
      <c r="K7" s="313"/>
      <c r="L7" s="97" t="s">
        <v>86</v>
      </c>
      <c r="M7" s="97" t="s">
        <v>87</v>
      </c>
      <c r="N7" s="97" t="s">
        <v>121</v>
      </c>
      <c r="O7" s="97" t="s">
        <v>88</v>
      </c>
      <c r="P7" s="97" t="s">
        <v>89</v>
      </c>
      <c r="Q7" s="97" t="s">
        <v>89</v>
      </c>
      <c r="R7" s="97" t="s">
        <v>89</v>
      </c>
      <c r="S7" s="97" t="s">
        <v>89</v>
      </c>
      <c r="T7" s="97" t="s">
        <v>89</v>
      </c>
      <c r="U7" s="311" t="s">
        <v>90</v>
      </c>
      <c r="V7" s="312"/>
      <c r="W7" s="312"/>
      <c r="X7" s="313"/>
      <c r="Y7" s="98"/>
      <c r="Z7" s="96" t="s">
        <v>126</v>
      </c>
      <c r="AA7" s="12" t="s">
        <v>127</v>
      </c>
      <c r="AB7" s="12" t="s">
        <v>125</v>
      </c>
    </row>
    <row r="8" spans="1:31" x14ac:dyDescent="0.15">
      <c r="A8" s="17"/>
      <c r="B8" s="99" t="s">
        <v>94</v>
      </c>
      <c r="C8" s="301" t="s">
        <v>227</v>
      </c>
      <c r="D8" s="302"/>
      <c r="E8" s="302"/>
      <c r="F8" s="303"/>
      <c r="G8" s="304">
        <v>1</v>
      </c>
      <c r="H8" s="305"/>
      <c r="I8" s="306"/>
      <c r="J8" s="304" t="s">
        <v>91</v>
      </c>
      <c r="K8" s="306"/>
      <c r="L8" s="100">
        <v>1</v>
      </c>
      <c r="M8" s="100"/>
      <c r="N8" s="100"/>
      <c r="O8" s="100"/>
      <c r="P8" s="100"/>
      <c r="Q8" s="100"/>
      <c r="R8" s="100"/>
      <c r="S8" s="100"/>
      <c r="T8" s="100"/>
      <c r="U8" s="307" t="s">
        <v>210</v>
      </c>
      <c r="V8" s="308"/>
      <c r="W8" s="308"/>
      <c r="X8" s="309"/>
      <c r="Y8" s="98"/>
      <c r="Z8" s="106">
        <f t="shared" ref="Z8:Z16" si="0">IF(LEFT(J8,7)="decimal",INT(MID(J8,9,FIND(",",J8,9)-9)),0)</f>
        <v>0</v>
      </c>
      <c r="AA8" s="105">
        <f t="shared" ref="AA8:AA37" si="1">IF(J8="varbinary(max)",2147483647,IF(J8="bit",1,IF(LEFT(J8,4)="char",INT(MID(J8,6,LEN(J8)-6)),IF(LEFT(J8,7)="varchar",INT(MID(J8,9,LEN(J8)-9)+2),IF(LEFT(J8,8)="nvarchar",INT(MID(J8,10,LEN(J8)-10)*2+2),IF(LEFT(J8,7)="decimal",IF(Z8&lt;10,5,IF(Z8&lt;20,9,IF(Z8&lt;29,13,17))),0))))))</f>
        <v>0</v>
      </c>
      <c r="AB8" s="105">
        <f t="shared" ref="AB8:AB37" si="2">IF(AA8&gt;0,AA8,IF(J8="date",3,IF(OR(J8="int",J8="real"),4,IF(J8="time",5,IF(OR(J8="datetime",J8="float",J8="datetime2"),8,IF(J8="uniqueidentifier",16,0))))))</f>
        <v>4</v>
      </c>
    </row>
    <row r="9" spans="1:31" x14ac:dyDescent="0.15">
      <c r="A9" s="17"/>
      <c r="B9" s="99">
        <f>B8+1</f>
        <v>2</v>
      </c>
      <c r="C9" s="301" t="s">
        <v>305</v>
      </c>
      <c r="D9" s="302"/>
      <c r="E9" s="302"/>
      <c r="F9" s="303"/>
      <c r="G9" s="304">
        <v>1</v>
      </c>
      <c r="H9" s="305"/>
      <c r="I9" s="306"/>
      <c r="J9" s="304" t="s">
        <v>91</v>
      </c>
      <c r="K9" s="306"/>
      <c r="L9" s="100"/>
      <c r="M9" s="171" t="s">
        <v>92</v>
      </c>
      <c r="N9" s="100">
        <v>0</v>
      </c>
      <c r="O9" s="100"/>
      <c r="P9" s="100"/>
      <c r="Q9" s="100"/>
      <c r="R9" s="100"/>
      <c r="S9" s="100"/>
      <c r="T9" s="100"/>
      <c r="U9" s="307" t="s">
        <v>310</v>
      </c>
      <c r="V9" s="308"/>
      <c r="W9" s="308"/>
      <c r="X9" s="309"/>
      <c r="Y9" s="98"/>
      <c r="Z9" s="106">
        <f t="shared" si="0"/>
        <v>0</v>
      </c>
      <c r="AA9" s="105">
        <f t="shared" si="1"/>
        <v>0</v>
      </c>
      <c r="AB9" s="105">
        <f t="shared" si="2"/>
        <v>4</v>
      </c>
    </row>
    <row r="10" spans="1:31" x14ac:dyDescent="0.15">
      <c r="A10" s="17"/>
      <c r="B10" s="99">
        <f t="shared" ref="B10:B37" si="3">B9+1</f>
        <v>3</v>
      </c>
      <c r="C10" s="301" t="s">
        <v>306</v>
      </c>
      <c r="D10" s="302"/>
      <c r="E10" s="302"/>
      <c r="F10" s="303"/>
      <c r="G10" s="304">
        <v>1</v>
      </c>
      <c r="H10" s="305"/>
      <c r="I10" s="306"/>
      <c r="J10" s="304" t="s">
        <v>91</v>
      </c>
      <c r="K10" s="306"/>
      <c r="L10" s="100"/>
      <c r="M10" s="171" t="s">
        <v>92</v>
      </c>
      <c r="N10" s="100">
        <v>0</v>
      </c>
      <c r="O10" s="100"/>
      <c r="P10" s="100"/>
      <c r="Q10" s="100"/>
      <c r="R10" s="100"/>
      <c r="S10" s="100"/>
      <c r="T10" s="100"/>
      <c r="U10" s="307" t="s">
        <v>311</v>
      </c>
      <c r="V10" s="308"/>
      <c r="W10" s="308"/>
      <c r="X10" s="309"/>
      <c r="Y10" s="98"/>
      <c r="Z10" s="106">
        <f t="shared" si="0"/>
        <v>0</v>
      </c>
      <c r="AA10" s="105">
        <f t="shared" si="1"/>
        <v>0</v>
      </c>
      <c r="AB10" s="105">
        <f t="shared" si="2"/>
        <v>4</v>
      </c>
    </row>
    <row r="11" spans="1:31" x14ac:dyDescent="0.15">
      <c r="A11" s="17"/>
      <c r="B11" s="99">
        <f t="shared" si="3"/>
        <v>4</v>
      </c>
      <c r="C11" s="301" t="s">
        <v>307</v>
      </c>
      <c r="D11" s="302"/>
      <c r="E11" s="302"/>
      <c r="F11" s="303"/>
      <c r="G11" s="304">
        <v>1</v>
      </c>
      <c r="H11" s="305"/>
      <c r="I11" s="306"/>
      <c r="J11" s="304" t="s">
        <v>91</v>
      </c>
      <c r="K11" s="306"/>
      <c r="L11" s="100"/>
      <c r="M11" s="171" t="s">
        <v>92</v>
      </c>
      <c r="N11" s="100">
        <v>0</v>
      </c>
      <c r="O11" s="100"/>
      <c r="P11" s="100"/>
      <c r="Q11" s="100"/>
      <c r="R11" s="100"/>
      <c r="S11" s="100"/>
      <c r="T11" s="100"/>
      <c r="U11" s="307" t="s">
        <v>312</v>
      </c>
      <c r="V11" s="308"/>
      <c r="W11" s="308"/>
      <c r="X11" s="309"/>
      <c r="Y11" s="98"/>
      <c r="Z11" s="106">
        <f t="shared" si="0"/>
        <v>0</v>
      </c>
      <c r="AA11" s="105">
        <f t="shared" si="1"/>
        <v>0</v>
      </c>
      <c r="AB11" s="105">
        <f t="shared" si="2"/>
        <v>4</v>
      </c>
    </row>
    <row r="12" spans="1:31" x14ac:dyDescent="0.15">
      <c r="A12" s="17"/>
      <c r="B12" s="99">
        <f t="shared" si="3"/>
        <v>5</v>
      </c>
      <c r="C12" s="301"/>
      <c r="D12" s="302"/>
      <c r="E12" s="302"/>
      <c r="F12" s="303"/>
      <c r="G12" s="304"/>
      <c r="H12" s="305"/>
      <c r="I12" s="306"/>
      <c r="J12" s="304"/>
      <c r="K12" s="306"/>
      <c r="L12" s="100"/>
      <c r="M12" s="171"/>
      <c r="N12" s="100"/>
      <c r="O12" s="100"/>
      <c r="P12" s="100"/>
      <c r="Q12" s="100"/>
      <c r="R12" s="100"/>
      <c r="S12" s="100"/>
      <c r="T12" s="100"/>
      <c r="U12" s="301"/>
      <c r="V12" s="302"/>
      <c r="W12" s="302"/>
      <c r="X12" s="303"/>
      <c r="Y12" s="98"/>
      <c r="Z12" s="106">
        <f t="shared" si="0"/>
        <v>0</v>
      </c>
      <c r="AA12" s="105">
        <f t="shared" si="1"/>
        <v>0</v>
      </c>
      <c r="AB12" s="105">
        <f t="shared" si="2"/>
        <v>0</v>
      </c>
    </row>
    <row r="13" spans="1:31" x14ac:dyDescent="0.15">
      <c r="A13" s="17"/>
      <c r="B13" s="99">
        <f t="shared" si="3"/>
        <v>6</v>
      </c>
      <c r="C13" s="301"/>
      <c r="D13" s="302"/>
      <c r="E13" s="302"/>
      <c r="F13" s="303"/>
      <c r="G13" s="304"/>
      <c r="H13" s="305"/>
      <c r="I13" s="306"/>
      <c r="J13" s="304"/>
      <c r="K13" s="306"/>
      <c r="L13" s="100"/>
      <c r="M13" s="171"/>
      <c r="N13" s="100"/>
      <c r="O13" s="100"/>
      <c r="P13" s="100"/>
      <c r="Q13" s="100"/>
      <c r="R13" s="100"/>
      <c r="S13" s="100"/>
      <c r="T13" s="100"/>
      <c r="U13" s="301"/>
      <c r="V13" s="302"/>
      <c r="W13" s="302"/>
      <c r="X13" s="303"/>
      <c r="Y13" s="98"/>
      <c r="Z13" s="106">
        <f t="shared" si="0"/>
        <v>0</v>
      </c>
      <c r="AA13" s="105">
        <f t="shared" si="1"/>
        <v>0</v>
      </c>
      <c r="AB13" s="105">
        <f>IF(AA13&gt;0,AA13,IF(J13="date",3,IF(OR(J13="int",J13="real"),4,IF(J13="time",5,IF(OR(J13="datetime",J13="float",J13="datetime2"),8,IF(J13="uniqueidentifier",16,0))))))</f>
        <v>0</v>
      </c>
    </row>
    <row r="14" spans="1:31" x14ac:dyDescent="0.15">
      <c r="A14" s="17"/>
      <c r="B14" s="99">
        <f t="shared" si="3"/>
        <v>7</v>
      </c>
      <c r="C14" s="301"/>
      <c r="D14" s="302"/>
      <c r="E14" s="302"/>
      <c r="F14" s="303"/>
      <c r="G14" s="304"/>
      <c r="H14" s="305"/>
      <c r="I14" s="306"/>
      <c r="J14" s="304"/>
      <c r="K14" s="306"/>
      <c r="L14" s="100"/>
      <c r="M14" s="171"/>
      <c r="N14" s="100"/>
      <c r="O14" s="100"/>
      <c r="P14" s="100"/>
      <c r="Q14" s="100"/>
      <c r="R14" s="100"/>
      <c r="S14" s="100"/>
      <c r="T14" s="100"/>
      <c r="U14" s="301"/>
      <c r="V14" s="302"/>
      <c r="W14" s="302"/>
      <c r="X14" s="303"/>
      <c r="Y14" s="98"/>
      <c r="Z14" s="106">
        <f t="shared" si="0"/>
        <v>0</v>
      </c>
      <c r="AA14" s="105">
        <f t="shared" si="1"/>
        <v>0</v>
      </c>
      <c r="AB14" s="105">
        <f t="shared" si="2"/>
        <v>0</v>
      </c>
    </row>
    <row r="15" spans="1:31" x14ac:dyDescent="0.15">
      <c r="A15" s="101"/>
      <c r="B15" s="99">
        <f t="shared" si="3"/>
        <v>8</v>
      </c>
      <c r="C15" s="301"/>
      <c r="D15" s="302"/>
      <c r="E15" s="302"/>
      <c r="F15" s="303"/>
      <c r="G15" s="304"/>
      <c r="H15" s="305"/>
      <c r="I15" s="306"/>
      <c r="J15" s="304"/>
      <c r="K15" s="306"/>
      <c r="L15" s="100"/>
      <c r="M15" s="171"/>
      <c r="N15" s="100"/>
      <c r="O15" s="100"/>
      <c r="P15" s="100"/>
      <c r="Q15" s="100"/>
      <c r="R15" s="100"/>
      <c r="S15" s="100"/>
      <c r="T15" s="100"/>
      <c r="U15" s="301"/>
      <c r="V15" s="302"/>
      <c r="W15" s="302"/>
      <c r="X15" s="303"/>
      <c r="Y15" s="98"/>
      <c r="Z15" s="106">
        <f t="shared" si="0"/>
        <v>0</v>
      </c>
      <c r="AA15" s="105">
        <f t="shared" si="1"/>
        <v>0</v>
      </c>
      <c r="AB15" s="105">
        <f t="shared" si="2"/>
        <v>0</v>
      </c>
    </row>
    <row r="16" spans="1:31" x14ac:dyDescent="0.15">
      <c r="A16" s="101"/>
      <c r="B16" s="99">
        <f t="shared" si="3"/>
        <v>9</v>
      </c>
      <c r="C16" s="301"/>
      <c r="D16" s="302"/>
      <c r="E16" s="302"/>
      <c r="F16" s="303"/>
      <c r="G16" s="304"/>
      <c r="H16" s="305"/>
      <c r="I16" s="306"/>
      <c r="J16" s="304"/>
      <c r="K16" s="306"/>
      <c r="L16" s="100"/>
      <c r="M16" s="100"/>
      <c r="N16" s="100"/>
      <c r="O16" s="100"/>
      <c r="P16" s="100"/>
      <c r="Q16" s="100"/>
      <c r="R16" s="100"/>
      <c r="S16" s="100"/>
      <c r="T16" s="100"/>
      <c r="U16" s="301"/>
      <c r="V16" s="302"/>
      <c r="W16" s="302"/>
      <c r="X16" s="303"/>
      <c r="Y16" s="98"/>
      <c r="Z16" s="106">
        <f t="shared" si="0"/>
        <v>0</v>
      </c>
      <c r="AA16" s="105">
        <f t="shared" si="1"/>
        <v>0</v>
      </c>
      <c r="AB16" s="105">
        <f t="shared" si="2"/>
        <v>0</v>
      </c>
    </row>
    <row r="17" spans="1:28" x14ac:dyDescent="0.15">
      <c r="A17" s="101"/>
      <c r="B17" s="99">
        <f t="shared" si="3"/>
        <v>10</v>
      </c>
      <c r="C17" s="301"/>
      <c r="D17" s="302"/>
      <c r="E17" s="302"/>
      <c r="F17" s="303"/>
      <c r="G17" s="304"/>
      <c r="H17" s="305"/>
      <c r="I17" s="306"/>
      <c r="J17" s="304"/>
      <c r="K17" s="306"/>
      <c r="L17" s="100"/>
      <c r="M17" s="171"/>
      <c r="N17" s="100"/>
      <c r="O17" s="100"/>
      <c r="P17" s="100"/>
      <c r="Q17" s="100"/>
      <c r="R17" s="100"/>
      <c r="S17" s="100"/>
      <c r="T17" s="100"/>
      <c r="U17" s="301"/>
      <c r="V17" s="302"/>
      <c r="W17" s="302"/>
      <c r="X17" s="303"/>
      <c r="Y17" s="98"/>
      <c r="Z17" s="106">
        <f>IF(LEFT(J17,7)="decimal",INT(MID(J17,9,FIND(",",J17,9)-9)),0)</f>
        <v>0</v>
      </c>
      <c r="AA17" s="105">
        <f t="shared" si="1"/>
        <v>0</v>
      </c>
      <c r="AB17" s="105">
        <f t="shared" si="2"/>
        <v>0</v>
      </c>
    </row>
    <row r="18" spans="1:28" x14ac:dyDescent="0.15">
      <c r="A18" s="101"/>
      <c r="B18" s="99">
        <f t="shared" si="3"/>
        <v>11</v>
      </c>
      <c r="C18" s="301"/>
      <c r="D18" s="302"/>
      <c r="E18" s="302"/>
      <c r="F18" s="303"/>
      <c r="G18" s="304"/>
      <c r="H18" s="305"/>
      <c r="I18" s="306"/>
      <c r="J18" s="304"/>
      <c r="K18" s="306"/>
      <c r="L18" s="100"/>
      <c r="M18" s="100"/>
      <c r="N18" s="100"/>
      <c r="O18" s="100"/>
      <c r="P18" s="100"/>
      <c r="Q18" s="100"/>
      <c r="R18" s="100"/>
      <c r="S18" s="100"/>
      <c r="T18" s="100"/>
      <c r="U18" s="301"/>
      <c r="V18" s="302"/>
      <c r="W18" s="302"/>
      <c r="X18" s="303"/>
      <c r="Y18" s="98"/>
      <c r="Z18" s="106">
        <f t="shared" ref="Z18:Z37" si="4">IF(LEFT(J18,7)="decimal",INT(MID(J18,9,FIND(",",J18,9)-9)),0)</f>
        <v>0</v>
      </c>
      <c r="AA18" s="105">
        <f t="shared" si="1"/>
        <v>0</v>
      </c>
      <c r="AB18" s="105">
        <f t="shared" si="2"/>
        <v>0</v>
      </c>
    </row>
    <row r="19" spans="1:28" x14ac:dyDescent="0.15">
      <c r="A19" s="101"/>
      <c r="B19" s="99">
        <f t="shared" si="3"/>
        <v>12</v>
      </c>
      <c r="C19" s="301"/>
      <c r="D19" s="302"/>
      <c r="E19" s="302"/>
      <c r="F19" s="303"/>
      <c r="G19" s="304"/>
      <c r="H19" s="305"/>
      <c r="I19" s="306"/>
      <c r="J19" s="304"/>
      <c r="K19" s="306"/>
      <c r="L19" s="100"/>
      <c r="M19" s="171"/>
      <c r="N19" s="100"/>
      <c r="O19" s="100"/>
      <c r="P19" s="100"/>
      <c r="Q19" s="100"/>
      <c r="R19" s="100"/>
      <c r="S19" s="100"/>
      <c r="T19" s="100"/>
      <c r="U19" s="301"/>
      <c r="V19" s="302"/>
      <c r="W19" s="302"/>
      <c r="X19" s="303"/>
      <c r="Y19" s="98"/>
      <c r="Z19" s="106">
        <f t="shared" si="4"/>
        <v>0</v>
      </c>
      <c r="AA19" s="105">
        <f t="shared" si="1"/>
        <v>0</v>
      </c>
      <c r="AB19" s="105">
        <f t="shared" si="2"/>
        <v>0</v>
      </c>
    </row>
    <row r="20" spans="1:28" x14ac:dyDescent="0.15">
      <c r="A20" s="101"/>
      <c r="B20" s="99">
        <f t="shared" si="3"/>
        <v>13</v>
      </c>
      <c r="C20" s="301"/>
      <c r="D20" s="302"/>
      <c r="E20" s="302"/>
      <c r="F20" s="303"/>
      <c r="G20" s="304"/>
      <c r="H20" s="305"/>
      <c r="I20" s="306"/>
      <c r="J20" s="304"/>
      <c r="K20" s="306"/>
      <c r="L20" s="100"/>
      <c r="M20" s="171"/>
      <c r="N20" s="100"/>
      <c r="O20" s="100"/>
      <c r="P20" s="100"/>
      <c r="Q20" s="100"/>
      <c r="R20" s="100"/>
      <c r="S20" s="100"/>
      <c r="T20" s="100"/>
      <c r="U20" s="301"/>
      <c r="V20" s="302"/>
      <c r="W20" s="302"/>
      <c r="X20" s="303"/>
      <c r="Y20" s="98"/>
      <c r="Z20" s="106">
        <f t="shared" si="4"/>
        <v>0</v>
      </c>
      <c r="AA20" s="105">
        <f t="shared" si="1"/>
        <v>0</v>
      </c>
      <c r="AB20" s="105">
        <f t="shared" si="2"/>
        <v>0</v>
      </c>
    </row>
    <row r="21" spans="1:28" x14ac:dyDescent="0.15">
      <c r="A21" s="101"/>
      <c r="B21" s="99">
        <f t="shared" si="3"/>
        <v>14</v>
      </c>
      <c r="C21" s="301"/>
      <c r="D21" s="302"/>
      <c r="E21" s="302"/>
      <c r="F21" s="303"/>
      <c r="G21" s="304"/>
      <c r="H21" s="305"/>
      <c r="I21" s="306"/>
      <c r="J21" s="304"/>
      <c r="K21" s="306"/>
      <c r="L21" s="100"/>
      <c r="M21" s="171"/>
      <c r="N21" s="100"/>
      <c r="O21" s="100"/>
      <c r="P21" s="100"/>
      <c r="Q21" s="100"/>
      <c r="R21" s="100"/>
      <c r="S21" s="100"/>
      <c r="T21" s="100"/>
      <c r="U21" s="301"/>
      <c r="V21" s="302"/>
      <c r="W21" s="302"/>
      <c r="X21" s="303"/>
      <c r="Y21" s="98"/>
      <c r="Z21" s="106">
        <f t="shared" si="4"/>
        <v>0</v>
      </c>
      <c r="AA21" s="105">
        <f t="shared" si="1"/>
        <v>0</v>
      </c>
      <c r="AB21" s="105">
        <f t="shared" si="2"/>
        <v>0</v>
      </c>
    </row>
    <row r="22" spans="1:28" x14ac:dyDescent="0.15">
      <c r="A22" s="101"/>
      <c r="B22" s="99">
        <f t="shared" si="3"/>
        <v>15</v>
      </c>
      <c r="C22" s="301"/>
      <c r="D22" s="302"/>
      <c r="E22" s="302"/>
      <c r="F22" s="303"/>
      <c r="G22" s="304"/>
      <c r="H22" s="305"/>
      <c r="I22" s="306"/>
      <c r="J22" s="304"/>
      <c r="K22" s="306"/>
      <c r="L22" s="100"/>
      <c r="M22" s="171"/>
      <c r="N22" s="100"/>
      <c r="O22" s="100"/>
      <c r="P22" s="100"/>
      <c r="Q22" s="100"/>
      <c r="R22" s="100"/>
      <c r="S22" s="100"/>
      <c r="T22" s="100"/>
      <c r="U22" s="301"/>
      <c r="V22" s="302"/>
      <c r="W22" s="302"/>
      <c r="X22" s="303"/>
      <c r="Y22" s="98"/>
      <c r="Z22" s="106">
        <f t="shared" si="4"/>
        <v>0</v>
      </c>
      <c r="AA22" s="105">
        <f t="shared" si="1"/>
        <v>0</v>
      </c>
      <c r="AB22" s="105">
        <f t="shared" si="2"/>
        <v>0</v>
      </c>
    </row>
    <row r="23" spans="1:28" x14ac:dyDescent="0.15">
      <c r="A23" s="101"/>
      <c r="B23" s="99">
        <f t="shared" si="3"/>
        <v>16</v>
      </c>
      <c r="C23" s="301"/>
      <c r="D23" s="302"/>
      <c r="E23" s="302"/>
      <c r="F23" s="303"/>
      <c r="G23" s="304"/>
      <c r="H23" s="305"/>
      <c r="I23" s="306"/>
      <c r="J23" s="304"/>
      <c r="K23" s="306"/>
      <c r="L23" s="100"/>
      <c r="M23" s="171"/>
      <c r="N23" s="100"/>
      <c r="O23" s="100"/>
      <c r="P23" s="100"/>
      <c r="Q23" s="100"/>
      <c r="R23" s="100"/>
      <c r="S23" s="100"/>
      <c r="T23" s="100"/>
      <c r="U23" s="301"/>
      <c r="V23" s="302"/>
      <c r="W23" s="302"/>
      <c r="X23" s="303"/>
      <c r="Y23" s="98"/>
      <c r="Z23" s="106">
        <f t="shared" si="4"/>
        <v>0</v>
      </c>
      <c r="AA23" s="105">
        <f t="shared" si="1"/>
        <v>0</v>
      </c>
      <c r="AB23" s="105">
        <f t="shared" si="2"/>
        <v>0</v>
      </c>
    </row>
    <row r="24" spans="1:28" x14ac:dyDescent="0.15">
      <c r="A24" s="101"/>
      <c r="B24" s="99">
        <f t="shared" si="3"/>
        <v>17</v>
      </c>
      <c r="C24" s="301"/>
      <c r="D24" s="302"/>
      <c r="E24" s="302"/>
      <c r="F24" s="303"/>
      <c r="G24" s="304"/>
      <c r="H24" s="305"/>
      <c r="I24" s="306"/>
      <c r="J24" s="304"/>
      <c r="K24" s="306"/>
      <c r="L24" s="100"/>
      <c r="M24" s="171"/>
      <c r="N24" s="100"/>
      <c r="O24" s="100"/>
      <c r="P24" s="100"/>
      <c r="Q24" s="100"/>
      <c r="R24" s="100"/>
      <c r="S24" s="100"/>
      <c r="T24" s="100"/>
      <c r="U24" s="301"/>
      <c r="V24" s="302"/>
      <c r="W24" s="302"/>
      <c r="X24" s="303"/>
      <c r="Y24" s="98"/>
      <c r="Z24" s="106">
        <f t="shared" si="4"/>
        <v>0</v>
      </c>
      <c r="AA24" s="105">
        <f t="shared" si="1"/>
        <v>0</v>
      </c>
      <c r="AB24" s="105">
        <f t="shared" si="2"/>
        <v>0</v>
      </c>
    </row>
    <row r="25" spans="1:28" x14ac:dyDescent="0.15">
      <c r="A25" s="101"/>
      <c r="B25" s="99">
        <f t="shared" si="3"/>
        <v>18</v>
      </c>
      <c r="C25" s="301"/>
      <c r="D25" s="302"/>
      <c r="E25" s="302"/>
      <c r="F25" s="303"/>
      <c r="G25" s="304"/>
      <c r="H25" s="305"/>
      <c r="I25" s="306"/>
      <c r="J25" s="304"/>
      <c r="K25" s="306"/>
      <c r="L25" s="100"/>
      <c r="M25" s="171"/>
      <c r="N25" s="100"/>
      <c r="O25" s="100"/>
      <c r="P25" s="100"/>
      <c r="Q25" s="100"/>
      <c r="R25" s="100"/>
      <c r="S25" s="100"/>
      <c r="T25" s="100"/>
      <c r="U25" s="301"/>
      <c r="V25" s="302"/>
      <c r="W25" s="302"/>
      <c r="X25" s="303"/>
      <c r="Y25" s="98"/>
      <c r="Z25" s="106">
        <f t="shared" si="4"/>
        <v>0</v>
      </c>
      <c r="AA25" s="105">
        <f t="shared" si="1"/>
        <v>0</v>
      </c>
      <c r="AB25" s="105">
        <f t="shared" si="2"/>
        <v>0</v>
      </c>
    </row>
    <row r="26" spans="1:28" x14ac:dyDescent="0.15">
      <c r="A26" s="101"/>
      <c r="B26" s="99">
        <f t="shared" si="3"/>
        <v>19</v>
      </c>
      <c r="C26" s="301"/>
      <c r="D26" s="302"/>
      <c r="E26" s="302"/>
      <c r="F26" s="303"/>
      <c r="G26" s="304"/>
      <c r="H26" s="305"/>
      <c r="I26" s="306"/>
      <c r="J26" s="304"/>
      <c r="K26" s="306"/>
      <c r="L26" s="100"/>
      <c r="M26" s="171"/>
      <c r="N26" s="100"/>
      <c r="O26" s="100"/>
      <c r="P26" s="100"/>
      <c r="Q26" s="100"/>
      <c r="R26" s="100"/>
      <c r="S26" s="100"/>
      <c r="T26" s="100"/>
      <c r="U26" s="301"/>
      <c r="V26" s="302"/>
      <c r="W26" s="302"/>
      <c r="X26" s="303"/>
      <c r="Y26" s="98"/>
      <c r="Z26" s="106">
        <f t="shared" si="4"/>
        <v>0</v>
      </c>
      <c r="AA26" s="105">
        <f t="shared" si="1"/>
        <v>0</v>
      </c>
      <c r="AB26" s="105">
        <f t="shared" si="2"/>
        <v>0</v>
      </c>
    </row>
    <row r="27" spans="1:28" x14ac:dyDescent="0.15">
      <c r="A27" s="101"/>
      <c r="B27" s="99">
        <f t="shared" si="3"/>
        <v>20</v>
      </c>
      <c r="C27" s="301"/>
      <c r="D27" s="302"/>
      <c r="E27" s="302"/>
      <c r="F27" s="303"/>
      <c r="G27" s="304"/>
      <c r="H27" s="305"/>
      <c r="I27" s="306"/>
      <c r="J27" s="304"/>
      <c r="K27" s="306"/>
      <c r="L27" s="100"/>
      <c r="M27" s="171"/>
      <c r="N27" s="100"/>
      <c r="O27" s="100"/>
      <c r="P27" s="100"/>
      <c r="Q27" s="100"/>
      <c r="R27" s="100"/>
      <c r="S27" s="100"/>
      <c r="T27" s="100"/>
      <c r="U27" s="301"/>
      <c r="V27" s="302"/>
      <c r="W27" s="302"/>
      <c r="X27" s="303"/>
      <c r="Y27" s="98"/>
      <c r="Z27" s="106">
        <f t="shared" si="4"/>
        <v>0</v>
      </c>
      <c r="AA27" s="105">
        <f t="shared" si="1"/>
        <v>0</v>
      </c>
      <c r="AB27" s="105">
        <f t="shared" si="2"/>
        <v>0</v>
      </c>
    </row>
    <row r="28" spans="1:28" x14ac:dyDescent="0.15">
      <c r="A28" s="101"/>
      <c r="B28" s="99">
        <f t="shared" si="3"/>
        <v>21</v>
      </c>
      <c r="C28" s="301"/>
      <c r="D28" s="302"/>
      <c r="E28" s="302"/>
      <c r="F28" s="303"/>
      <c r="G28" s="304"/>
      <c r="H28" s="305"/>
      <c r="I28" s="306"/>
      <c r="J28" s="304"/>
      <c r="K28" s="306"/>
      <c r="L28" s="100"/>
      <c r="M28" s="100"/>
      <c r="N28" s="100"/>
      <c r="O28" s="100"/>
      <c r="P28" s="100"/>
      <c r="Q28" s="100"/>
      <c r="R28" s="100"/>
      <c r="S28" s="100"/>
      <c r="T28" s="100"/>
      <c r="U28" s="301"/>
      <c r="V28" s="302"/>
      <c r="W28" s="302"/>
      <c r="X28" s="303"/>
      <c r="Y28" s="98"/>
      <c r="Z28" s="106">
        <f t="shared" si="4"/>
        <v>0</v>
      </c>
      <c r="AA28" s="105">
        <f t="shared" si="1"/>
        <v>0</v>
      </c>
      <c r="AB28" s="105">
        <f t="shared" si="2"/>
        <v>0</v>
      </c>
    </row>
    <row r="29" spans="1:28" x14ac:dyDescent="0.15">
      <c r="A29" s="101"/>
      <c r="B29" s="99">
        <f t="shared" si="3"/>
        <v>22</v>
      </c>
      <c r="C29" s="301"/>
      <c r="D29" s="302"/>
      <c r="E29" s="302"/>
      <c r="F29" s="303"/>
      <c r="G29" s="304"/>
      <c r="H29" s="305"/>
      <c r="I29" s="306"/>
      <c r="J29" s="304"/>
      <c r="K29" s="306"/>
      <c r="L29" s="100"/>
      <c r="M29" s="171"/>
      <c r="N29" s="100"/>
      <c r="O29" s="100"/>
      <c r="P29" s="100"/>
      <c r="Q29" s="100"/>
      <c r="R29" s="100"/>
      <c r="S29" s="100"/>
      <c r="T29" s="100"/>
      <c r="U29" s="301"/>
      <c r="V29" s="302"/>
      <c r="W29" s="302"/>
      <c r="X29" s="303"/>
      <c r="Y29" s="98"/>
      <c r="Z29" s="106">
        <f t="shared" si="4"/>
        <v>0</v>
      </c>
      <c r="AA29" s="105">
        <f t="shared" si="1"/>
        <v>0</v>
      </c>
      <c r="AB29" s="105">
        <f t="shared" si="2"/>
        <v>0</v>
      </c>
    </row>
    <row r="30" spans="1:28" x14ac:dyDescent="0.15">
      <c r="A30" s="101"/>
      <c r="B30" s="99">
        <f t="shared" si="3"/>
        <v>23</v>
      </c>
      <c r="C30" s="301"/>
      <c r="D30" s="302"/>
      <c r="E30" s="302"/>
      <c r="F30" s="303"/>
      <c r="G30" s="304"/>
      <c r="H30" s="305"/>
      <c r="I30" s="306"/>
      <c r="J30" s="304"/>
      <c r="K30" s="306"/>
      <c r="L30" s="100"/>
      <c r="M30" s="100"/>
      <c r="N30" s="100"/>
      <c r="O30" s="100"/>
      <c r="P30" s="100"/>
      <c r="Q30" s="100"/>
      <c r="R30" s="100"/>
      <c r="S30" s="100"/>
      <c r="T30" s="100"/>
      <c r="U30" s="301"/>
      <c r="V30" s="302"/>
      <c r="W30" s="302"/>
      <c r="X30" s="303"/>
      <c r="Y30" s="98"/>
      <c r="Z30" s="106">
        <f t="shared" si="4"/>
        <v>0</v>
      </c>
      <c r="AA30" s="105">
        <f t="shared" si="1"/>
        <v>0</v>
      </c>
      <c r="AB30" s="105">
        <f t="shared" si="2"/>
        <v>0</v>
      </c>
    </row>
    <row r="31" spans="1:28" x14ac:dyDescent="0.15">
      <c r="A31" s="101"/>
      <c r="B31" s="99">
        <f t="shared" si="3"/>
        <v>24</v>
      </c>
      <c r="C31" s="301"/>
      <c r="D31" s="302"/>
      <c r="E31" s="302"/>
      <c r="F31" s="303"/>
      <c r="G31" s="304"/>
      <c r="H31" s="305"/>
      <c r="I31" s="306"/>
      <c r="J31" s="304"/>
      <c r="K31" s="306"/>
      <c r="L31" s="100"/>
      <c r="M31" s="100"/>
      <c r="N31" s="100"/>
      <c r="O31" s="100"/>
      <c r="P31" s="100"/>
      <c r="Q31" s="100"/>
      <c r="R31" s="100"/>
      <c r="S31" s="100"/>
      <c r="T31" s="100"/>
      <c r="U31" s="301"/>
      <c r="V31" s="302"/>
      <c r="W31" s="302"/>
      <c r="X31" s="303"/>
      <c r="Y31" s="98"/>
      <c r="Z31" s="106">
        <f t="shared" si="4"/>
        <v>0</v>
      </c>
      <c r="AA31" s="105">
        <f t="shared" si="1"/>
        <v>0</v>
      </c>
      <c r="AB31" s="105">
        <f t="shared" si="2"/>
        <v>0</v>
      </c>
    </row>
    <row r="32" spans="1:28" x14ac:dyDescent="0.15">
      <c r="A32" s="101"/>
      <c r="B32" s="99">
        <f t="shared" si="3"/>
        <v>25</v>
      </c>
      <c r="C32" s="301"/>
      <c r="D32" s="302"/>
      <c r="E32" s="302"/>
      <c r="F32" s="303"/>
      <c r="G32" s="304"/>
      <c r="H32" s="305"/>
      <c r="I32" s="306"/>
      <c r="J32" s="304"/>
      <c r="K32" s="306"/>
      <c r="L32" s="100"/>
      <c r="M32" s="100"/>
      <c r="N32" s="100"/>
      <c r="O32" s="100"/>
      <c r="P32" s="100"/>
      <c r="Q32" s="100"/>
      <c r="R32" s="100"/>
      <c r="S32" s="100"/>
      <c r="T32" s="100"/>
      <c r="U32" s="301"/>
      <c r="V32" s="302"/>
      <c r="W32" s="302"/>
      <c r="X32" s="303"/>
      <c r="Y32" s="98"/>
      <c r="Z32" s="106">
        <f t="shared" si="4"/>
        <v>0</v>
      </c>
      <c r="AA32" s="105">
        <f t="shared" si="1"/>
        <v>0</v>
      </c>
      <c r="AB32" s="105">
        <f t="shared" si="2"/>
        <v>0</v>
      </c>
    </row>
    <row r="33" spans="1:28" x14ac:dyDescent="0.15">
      <c r="A33" s="101"/>
      <c r="B33" s="99">
        <f t="shared" si="3"/>
        <v>26</v>
      </c>
      <c r="C33" s="301"/>
      <c r="D33" s="302"/>
      <c r="E33" s="302"/>
      <c r="F33" s="303"/>
      <c r="G33" s="304"/>
      <c r="H33" s="305"/>
      <c r="I33" s="306"/>
      <c r="J33" s="304"/>
      <c r="K33" s="306"/>
      <c r="L33" s="100"/>
      <c r="M33" s="100"/>
      <c r="N33" s="100"/>
      <c r="O33" s="100"/>
      <c r="P33" s="100"/>
      <c r="Q33" s="100"/>
      <c r="R33" s="100"/>
      <c r="S33" s="100"/>
      <c r="T33" s="100"/>
      <c r="U33" s="301"/>
      <c r="V33" s="302"/>
      <c r="W33" s="302"/>
      <c r="X33" s="303"/>
      <c r="Y33" s="98"/>
      <c r="Z33" s="106">
        <f t="shared" si="4"/>
        <v>0</v>
      </c>
      <c r="AA33" s="105">
        <f t="shared" si="1"/>
        <v>0</v>
      </c>
      <c r="AB33" s="105">
        <f t="shared" si="2"/>
        <v>0</v>
      </c>
    </row>
    <row r="34" spans="1:28" x14ac:dyDescent="0.15">
      <c r="A34" s="101"/>
      <c r="B34" s="99">
        <f t="shared" si="3"/>
        <v>27</v>
      </c>
      <c r="C34" s="301"/>
      <c r="D34" s="302"/>
      <c r="E34" s="302"/>
      <c r="F34" s="303"/>
      <c r="G34" s="304"/>
      <c r="H34" s="305"/>
      <c r="I34" s="306"/>
      <c r="J34" s="304"/>
      <c r="K34" s="306"/>
      <c r="L34" s="100"/>
      <c r="M34" s="100"/>
      <c r="N34" s="100"/>
      <c r="O34" s="100"/>
      <c r="P34" s="100"/>
      <c r="Q34" s="100"/>
      <c r="R34" s="100"/>
      <c r="S34" s="100"/>
      <c r="T34" s="100"/>
      <c r="U34" s="301"/>
      <c r="V34" s="302"/>
      <c r="W34" s="302"/>
      <c r="X34" s="303"/>
      <c r="Y34" s="98"/>
      <c r="Z34" s="106">
        <f t="shared" si="4"/>
        <v>0</v>
      </c>
      <c r="AA34" s="105">
        <f t="shared" si="1"/>
        <v>0</v>
      </c>
      <c r="AB34" s="105">
        <f t="shared" si="2"/>
        <v>0</v>
      </c>
    </row>
    <row r="35" spans="1:28" x14ac:dyDescent="0.15">
      <c r="A35" s="101"/>
      <c r="B35" s="99">
        <f t="shared" si="3"/>
        <v>28</v>
      </c>
      <c r="C35" s="301"/>
      <c r="D35" s="302"/>
      <c r="E35" s="302"/>
      <c r="F35" s="303"/>
      <c r="G35" s="304"/>
      <c r="H35" s="305"/>
      <c r="I35" s="306"/>
      <c r="J35" s="304"/>
      <c r="K35" s="306"/>
      <c r="L35" s="100"/>
      <c r="M35" s="100"/>
      <c r="N35" s="100"/>
      <c r="O35" s="100"/>
      <c r="P35" s="100"/>
      <c r="Q35" s="100"/>
      <c r="R35" s="100"/>
      <c r="S35" s="100"/>
      <c r="T35" s="100"/>
      <c r="U35" s="301"/>
      <c r="V35" s="302"/>
      <c r="W35" s="302"/>
      <c r="X35" s="303"/>
      <c r="Y35" s="98"/>
      <c r="Z35" s="106">
        <f t="shared" si="4"/>
        <v>0</v>
      </c>
      <c r="AA35" s="105">
        <f t="shared" si="1"/>
        <v>0</v>
      </c>
      <c r="AB35" s="105">
        <f t="shared" si="2"/>
        <v>0</v>
      </c>
    </row>
    <row r="36" spans="1:28" x14ac:dyDescent="0.15">
      <c r="A36" s="101"/>
      <c r="B36" s="99">
        <f t="shared" si="3"/>
        <v>29</v>
      </c>
      <c r="C36" s="301"/>
      <c r="D36" s="302"/>
      <c r="E36" s="302"/>
      <c r="F36" s="303"/>
      <c r="G36" s="304"/>
      <c r="H36" s="305"/>
      <c r="I36" s="306"/>
      <c r="J36" s="304"/>
      <c r="K36" s="306"/>
      <c r="L36" s="100"/>
      <c r="M36" s="100"/>
      <c r="N36" s="100"/>
      <c r="O36" s="100"/>
      <c r="P36" s="100"/>
      <c r="Q36" s="100"/>
      <c r="R36" s="100"/>
      <c r="S36" s="100"/>
      <c r="T36" s="100"/>
      <c r="U36" s="301"/>
      <c r="V36" s="302"/>
      <c r="W36" s="302"/>
      <c r="X36" s="303"/>
      <c r="Y36" s="98"/>
      <c r="Z36" s="106">
        <f t="shared" si="4"/>
        <v>0</v>
      </c>
      <c r="AA36" s="105">
        <f t="shared" si="1"/>
        <v>0</v>
      </c>
      <c r="AB36" s="105">
        <f t="shared" si="2"/>
        <v>0</v>
      </c>
    </row>
    <row r="37" spans="1:28" x14ac:dyDescent="0.15">
      <c r="A37" s="101"/>
      <c r="B37" s="99">
        <f t="shared" si="3"/>
        <v>30</v>
      </c>
      <c r="C37" s="301"/>
      <c r="D37" s="302"/>
      <c r="E37" s="302"/>
      <c r="F37" s="303"/>
      <c r="G37" s="304"/>
      <c r="H37" s="305"/>
      <c r="I37" s="306"/>
      <c r="J37" s="304"/>
      <c r="K37" s="306"/>
      <c r="L37" s="100"/>
      <c r="M37" s="100"/>
      <c r="N37" s="100"/>
      <c r="O37" s="100"/>
      <c r="P37" s="100"/>
      <c r="Q37" s="100"/>
      <c r="R37" s="100"/>
      <c r="S37" s="100"/>
      <c r="T37" s="100"/>
      <c r="U37" s="301"/>
      <c r="V37" s="302"/>
      <c r="W37" s="302"/>
      <c r="X37" s="303"/>
      <c r="Y37" s="98"/>
      <c r="Z37" s="106">
        <f t="shared" si="4"/>
        <v>0</v>
      </c>
      <c r="AA37" s="105">
        <f t="shared" si="1"/>
        <v>0</v>
      </c>
      <c r="AB37" s="105">
        <f t="shared" si="2"/>
        <v>0</v>
      </c>
    </row>
    <row r="38" spans="1:28" x14ac:dyDescent="0.15">
      <c r="A38" s="101"/>
      <c r="B38" s="298" t="s">
        <v>122</v>
      </c>
      <c r="C38" s="299"/>
      <c r="D38" s="299"/>
      <c r="E38" s="299"/>
      <c r="F38" s="299"/>
      <c r="G38" s="299"/>
      <c r="H38" s="299"/>
      <c r="I38" s="299"/>
      <c r="J38" s="299"/>
      <c r="K38" s="299"/>
      <c r="L38" s="299"/>
      <c r="M38" s="299"/>
      <c r="N38" s="299"/>
      <c r="O38" s="299"/>
      <c r="P38" s="299"/>
      <c r="Q38" s="299"/>
      <c r="R38" s="299"/>
      <c r="S38" s="299"/>
      <c r="T38" s="299"/>
      <c r="U38" s="299"/>
      <c r="V38" s="299"/>
      <c r="W38" s="299"/>
      <c r="X38" s="300"/>
      <c r="Y38" s="98"/>
      <c r="Z38" s="92"/>
    </row>
    <row r="39" spans="1:28" x14ac:dyDescent="0.15">
      <c r="A39" s="101"/>
      <c r="B39" s="101" t="s">
        <v>308</v>
      </c>
      <c r="C39" s="92"/>
      <c r="D39" s="92"/>
      <c r="E39" s="92"/>
      <c r="F39" s="92"/>
      <c r="G39" s="92"/>
      <c r="H39" s="92"/>
      <c r="I39" s="92"/>
      <c r="J39" s="92"/>
      <c r="K39" s="92"/>
      <c r="L39" s="92"/>
      <c r="M39" s="92"/>
      <c r="N39" s="92"/>
      <c r="O39" s="92"/>
      <c r="P39" s="92"/>
      <c r="Q39" s="92"/>
      <c r="R39" s="92"/>
      <c r="S39" s="92"/>
      <c r="T39" s="92"/>
      <c r="U39" s="92"/>
      <c r="V39" s="92"/>
      <c r="W39" s="92"/>
      <c r="X39" s="98"/>
      <c r="Y39" s="98"/>
      <c r="Z39" s="92"/>
    </row>
    <row r="40" spans="1:28" x14ac:dyDescent="0.15">
      <c r="A40" s="101"/>
      <c r="B40" s="101" t="s">
        <v>309</v>
      </c>
      <c r="C40" s="92"/>
      <c r="D40" s="92"/>
      <c r="E40" s="92"/>
      <c r="F40" s="92"/>
      <c r="G40" s="92"/>
      <c r="H40" s="92"/>
      <c r="I40" s="92"/>
      <c r="J40" s="92"/>
      <c r="K40" s="92"/>
      <c r="L40" s="92"/>
      <c r="M40" s="92"/>
      <c r="N40" s="92"/>
      <c r="O40" s="92"/>
      <c r="P40" s="92"/>
      <c r="Q40" s="92"/>
      <c r="R40" s="92"/>
      <c r="S40" s="92"/>
      <c r="T40" s="92"/>
      <c r="U40" s="92"/>
      <c r="V40" s="92"/>
      <c r="W40" s="92"/>
      <c r="X40" s="98"/>
      <c r="Y40" s="98"/>
      <c r="Z40" s="92"/>
    </row>
    <row r="41" spans="1:28" x14ac:dyDescent="0.15">
      <c r="A41" s="101"/>
      <c r="B41" s="101"/>
      <c r="C41" s="92"/>
      <c r="D41" s="92"/>
      <c r="E41" s="92"/>
      <c r="F41" s="92"/>
      <c r="G41" s="92"/>
      <c r="H41" s="92"/>
      <c r="I41" s="92"/>
      <c r="J41" s="92"/>
      <c r="K41" s="92"/>
      <c r="L41" s="92"/>
      <c r="M41" s="92"/>
      <c r="N41" s="92"/>
      <c r="O41" s="92"/>
      <c r="P41" s="92"/>
      <c r="Q41" s="92"/>
      <c r="R41" s="92"/>
      <c r="S41" s="92"/>
      <c r="T41" s="92"/>
      <c r="U41" s="92"/>
      <c r="V41" s="92"/>
      <c r="W41" s="92"/>
      <c r="X41" s="98"/>
      <c r="Y41" s="98"/>
      <c r="Z41" s="92"/>
    </row>
    <row r="42" spans="1:28" x14ac:dyDescent="0.15">
      <c r="A42" s="101"/>
      <c r="B42" s="102"/>
      <c r="C42" s="93"/>
      <c r="D42" s="93"/>
      <c r="E42" s="93"/>
      <c r="F42" s="93"/>
      <c r="G42" s="93"/>
      <c r="H42" s="93"/>
      <c r="I42" s="93"/>
      <c r="J42" s="93"/>
      <c r="K42" s="93"/>
      <c r="L42" s="93"/>
      <c r="M42" s="93"/>
      <c r="N42" s="93"/>
      <c r="O42" s="93"/>
      <c r="P42" s="93"/>
      <c r="Q42" s="93"/>
      <c r="R42" s="93"/>
      <c r="S42" s="93"/>
      <c r="T42" s="93"/>
      <c r="U42" s="93"/>
      <c r="V42" s="93"/>
      <c r="W42" s="93"/>
      <c r="X42" s="103"/>
      <c r="Y42" s="98"/>
      <c r="Z42" s="92"/>
    </row>
    <row r="43" spans="1:28" x14ac:dyDescent="0.15">
      <c r="A43" s="102"/>
      <c r="B43" s="93"/>
      <c r="C43" s="93"/>
      <c r="D43" s="93"/>
      <c r="E43" s="93"/>
      <c r="F43" s="93"/>
      <c r="G43" s="93"/>
      <c r="H43" s="93"/>
      <c r="I43" s="93"/>
      <c r="J43" s="93"/>
      <c r="K43" s="93"/>
      <c r="L43" s="93"/>
      <c r="M43" s="93"/>
      <c r="N43" s="93"/>
      <c r="O43" s="93"/>
      <c r="P43" s="93"/>
      <c r="Q43" s="93"/>
      <c r="R43" s="93"/>
      <c r="S43" s="93"/>
      <c r="T43" s="93"/>
      <c r="U43" s="93"/>
      <c r="V43" s="93"/>
      <c r="W43" s="93"/>
      <c r="X43" s="93"/>
      <c r="Y43" s="103"/>
      <c r="Z43" s="92"/>
    </row>
  </sheetData>
  <mergeCells count="138">
    <mergeCell ref="B38:X38"/>
    <mergeCell ref="C36:F36"/>
    <mergeCell ref="G36:I36"/>
    <mergeCell ref="J36:K36"/>
    <mergeCell ref="U36:X36"/>
    <mergeCell ref="C37:F37"/>
    <mergeCell ref="G37:I37"/>
    <mergeCell ref="J37:K37"/>
    <mergeCell ref="U37:X37"/>
    <mergeCell ref="C34:F34"/>
    <mergeCell ref="G34:I34"/>
    <mergeCell ref="J34:K34"/>
    <mergeCell ref="U34:X34"/>
    <mergeCell ref="C35:F35"/>
    <mergeCell ref="G35:I35"/>
    <mergeCell ref="J35:K35"/>
    <mergeCell ref="U35:X35"/>
    <mergeCell ref="C32:F32"/>
    <mergeCell ref="G32:I32"/>
    <mergeCell ref="J32:K32"/>
    <mergeCell ref="U32:X32"/>
    <mergeCell ref="C33:F33"/>
    <mergeCell ref="G33:I33"/>
    <mergeCell ref="J33:K33"/>
    <mergeCell ref="U33:X33"/>
    <mergeCell ref="C30:F30"/>
    <mergeCell ref="G30:I30"/>
    <mergeCell ref="J30:K30"/>
    <mergeCell ref="U30:X30"/>
    <mergeCell ref="C31:F31"/>
    <mergeCell ref="G31:I31"/>
    <mergeCell ref="J31:K31"/>
    <mergeCell ref="U31:X31"/>
    <mergeCell ref="C28:F28"/>
    <mergeCell ref="G28:I28"/>
    <mergeCell ref="J28:K28"/>
    <mergeCell ref="U28:X28"/>
    <mergeCell ref="C29:F29"/>
    <mergeCell ref="G29:I29"/>
    <mergeCell ref="J29:K29"/>
    <mergeCell ref="U29:X29"/>
    <mergeCell ref="C26:F26"/>
    <mergeCell ref="G26:I26"/>
    <mergeCell ref="J26:K26"/>
    <mergeCell ref="U26:X26"/>
    <mergeCell ref="C27:F27"/>
    <mergeCell ref="G27:I27"/>
    <mergeCell ref="J27:K27"/>
    <mergeCell ref="U27:X27"/>
    <mergeCell ref="C24:F24"/>
    <mergeCell ref="G24:I24"/>
    <mergeCell ref="J24:K24"/>
    <mergeCell ref="U24:X24"/>
    <mergeCell ref="C25:F25"/>
    <mergeCell ref="G25:I25"/>
    <mergeCell ref="J25:K25"/>
    <mergeCell ref="U25:X25"/>
    <mergeCell ref="C22:F22"/>
    <mergeCell ref="G22:I22"/>
    <mergeCell ref="J22:K22"/>
    <mergeCell ref="U22:X22"/>
    <mergeCell ref="C23:F23"/>
    <mergeCell ref="G23:I23"/>
    <mergeCell ref="J23:K23"/>
    <mergeCell ref="U23:X23"/>
    <mergeCell ref="C20:F20"/>
    <mergeCell ref="G20:I20"/>
    <mergeCell ref="J20:K20"/>
    <mergeCell ref="U20:X20"/>
    <mergeCell ref="C21:F21"/>
    <mergeCell ref="G21:I21"/>
    <mergeCell ref="J21:K21"/>
    <mergeCell ref="U21:X21"/>
    <mergeCell ref="C18:F18"/>
    <mergeCell ref="G18:I18"/>
    <mergeCell ref="J18:K18"/>
    <mergeCell ref="U18:X18"/>
    <mergeCell ref="C19:F19"/>
    <mergeCell ref="G19:I19"/>
    <mergeCell ref="J19:K19"/>
    <mergeCell ref="U19:X19"/>
    <mergeCell ref="C16:F16"/>
    <mergeCell ref="G16:I16"/>
    <mergeCell ref="J16:K16"/>
    <mergeCell ref="U16:X16"/>
    <mergeCell ref="C17:F17"/>
    <mergeCell ref="G17:I17"/>
    <mergeCell ref="J17:K17"/>
    <mergeCell ref="U17:X17"/>
    <mergeCell ref="C14:F14"/>
    <mergeCell ref="G14:I14"/>
    <mergeCell ref="J14:K14"/>
    <mergeCell ref="U14:X14"/>
    <mergeCell ref="C15:F15"/>
    <mergeCell ref="G15:I15"/>
    <mergeCell ref="J15:K15"/>
    <mergeCell ref="U15:X15"/>
    <mergeCell ref="C12:F12"/>
    <mergeCell ref="G12:I12"/>
    <mergeCell ref="J12:K12"/>
    <mergeCell ref="U12:X12"/>
    <mergeCell ref="C13:F13"/>
    <mergeCell ref="G13:I13"/>
    <mergeCell ref="J13:K13"/>
    <mergeCell ref="U13:X13"/>
    <mergeCell ref="C10:F10"/>
    <mergeCell ref="G10:I10"/>
    <mergeCell ref="J10:K10"/>
    <mergeCell ref="U10:X10"/>
    <mergeCell ref="C11:F11"/>
    <mergeCell ref="G11:I11"/>
    <mergeCell ref="J11:K11"/>
    <mergeCell ref="U11:X11"/>
    <mergeCell ref="C8:F8"/>
    <mergeCell ref="G8:I8"/>
    <mergeCell ref="J8:K8"/>
    <mergeCell ref="U8:X8"/>
    <mergeCell ref="C9:F9"/>
    <mergeCell ref="G9:I9"/>
    <mergeCell ref="J9:K9"/>
    <mergeCell ref="U9:X9"/>
    <mergeCell ref="W2:Y3"/>
    <mergeCell ref="A3:B3"/>
    <mergeCell ref="G3:I3"/>
    <mergeCell ref="C7:F7"/>
    <mergeCell ref="G7:I7"/>
    <mergeCell ref="J7:K7"/>
    <mergeCell ref="U7:X7"/>
    <mergeCell ref="A1:F2"/>
    <mergeCell ref="G1:I1"/>
    <mergeCell ref="P1:Q1"/>
    <mergeCell ref="R1:T1"/>
    <mergeCell ref="U1:V1"/>
    <mergeCell ref="W1:Y1"/>
    <mergeCell ref="G2:I2"/>
    <mergeCell ref="P2:Q3"/>
    <mergeCell ref="R2:T3"/>
    <mergeCell ref="U2:V3"/>
  </mergeCells>
  <phoneticPr fontId="1"/>
  <conditionalFormatting sqref="J18:K18 J31:K37">
    <cfRule type="expression" dxfId="149" priority="79">
      <formula>ISERROR(AB18)</formula>
    </cfRule>
    <cfRule type="expression" dxfId="148" priority="80">
      <formula>ISBLANK(AB18)</formula>
    </cfRule>
    <cfRule type="expression" dxfId="147" priority="81">
      <formula>AND(J18&lt;&gt;"",AB18&lt;=0)</formula>
    </cfRule>
  </conditionalFormatting>
  <conditionalFormatting sqref="J8:K8">
    <cfRule type="expression" dxfId="146" priority="76">
      <formula>ISERROR(AB8)</formula>
    </cfRule>
    <cfRule type="expression" dxfId="145" priority="77">
      <formula>ISBLANK(AB8)</formula>
    </cfRule>
    <cfRule type="expression" dxfId="144" priority="78">
      <formula>AND(J8&lt;&gt;"",AB8&lt;=0)</formula>
    </cfRule>
  </conditionalFormatting>
  <conditionalFormatting sqref="J14:K14">
    <cfRule type="expression" dxfId="143" priority="43">
      <formula>ISERROR(AB14)</formula>
    </cfRule>
    <cfRule type="expression" dxfId="142" priority="44">
      <formula>ISBLANK(AB14)</formula>
    </cfRule>
    <cfRule type="expression" dxfId="141" priority="45">
      <formula>AND(J14&lt;&gt;"",AB14&lt;=0)</formula>
    </cfRule>
  </conditionalFormatting>
  <conditionalFormatting sqref="J17:K17">
    <cfRule type="expression" dxfId="140" priority="73">
      <formula>ISERROR(AB17)</formula>
    </cfRule>
    <cfRule type="expression" dxfId="139" priority="74">
      <formula>ISBLANK(AB17)</formula>
    </cfRule>
    <cfRule type="expression" dxfId="138" priority="75">
      <formula>AND(J17&lt;&gt;"",AB17&lt;=0)</formula>
    </cfRule>
  </conditionalFormatting>
  <conditionalFormatting sqref="J21:K21">
    <cfRule type="expression" dxfId="137" priority="64">
      <formula>ISERROR(AB21)</formula>
    </cfRule>
    <cfRule type="expression" dxfId="136" priority="65">
      <formula>ISBLANK(AB21)</formula>
    </cfRule>
    <cfRule type="expression" dxfId="135" priority="66">
      <formula>AND(J21&lt;&gt;"",AB21&lt;=0)</formula>
    </cfRule>
  </conditionalFormatting>
  <conditionalFormatting sqref="J15:K15">
    <cfRule type="expression" dxfId="134" priority="40">
      <formula>ISERROR(AB15)</formula>
    </cfRule>
    <cfRule type="expression" dxfId="133" priority="41">
      <formula>ISBLANK(AB15)</formula>
    </cfRule>
    <cfRule type="expression" dxfId="132" priority="42">
      <formula>AND(J15&lt;&gt;"",AB15&lt;=0)</formula>
    </cfRule>
  </conditionalFormatting>
  <conditionalFormatting sqref="J19:K19">
    <cfRule type="expression" dxfId="131" priority="70">
      <formula>ISERROR(AB19)</formula>
    </cfRule>
    <cfRule type="expression" dxfId="130" priority="71">
      <formula>ISBLANK(AB19)</formula>
    </cfRule>
    <cfRule type="expression" dxfId="129" priority="72">
      <formula>AND(J19&lt;&gt;"",AB19&lt;=0)</formula>
    </cfRule>
  </conditionalFormatting>
  <conditionalFormatting sqref="J20:K20">
    <cfRule type="expression" dxfId="128" priority="67">
      <formula>ISERROR(AB20)</formula>
    </cfRule>
    <cfRule type="expression" dxfId="127" priority="68">
      <formula>ISBLANK(AB20)</formula>
    </cfRule>
    <cfRule type="expression" dxfId="126" priority="69">
      <formula>AND(J20&lt;&gt;"",AB20&lt;=0)</formula>
    </cfRule>
  </conditionalFormatting>
  <conditionalFormatting sqref="J16:K16">
    <cfRule type="expression" dxfId="125" priority="58">
      <formula>ISERROR(AB16)</formula>
    </cfRule>
    <cfRule type="expression" dxfId="124" priority="59">
      <formula>ISBLANK(AB16)</formula>
    </cfRule>
    <cfRule type="expression" dxfId="123" priority="60">
      <formula>AND(J16&lt;&gt;"",AB16&lt;=0)</formula>
    </cfRule>
  </conditionalFormatting>
  <conditionalFormatting sqref="J13:K13">
    <cfRule type="expression" dxfId="122" priority="46">
      <formula>ISERROR(AB13)</formula>
    </cfRule>
    <cfRule type="expression" dxfId="121" priority="47">
      <formula>ISBLANK(AB13)</formula>
    </cfRule>
    <cfRule type="expression" dxfId="120" priority="48">
      <formula>AND(J13&lt;&gt;"",AB13&lt;=0)</formula>
    </cfRule>
  </conditionalFormatting>
  <conditionalFormatting sqref="J30:K30">
    <cfRule type="expression" dxfId="119" priority="37">
      <formula>ISERROR(AB30)</formula>
    </cfRule>
    <cfRule type="expression" dxfId="118" priority="38">
      <formula>ISBLANK(AB30)</formula>
    </cfRule>
    <cfRule type="expression" dxfId="117" priority="39">
      <formula>AND(J30&lt;&gt;"",AB30&lt;=0)</formula>
    </cfRule>
  </conditionalFormatting>
  <conditionalFormatting sqref="J26:K26">
    <cfRule type="expression" dxfId="116" priority="16">
      <formula>ISERROR(AB26)</formula>
    </cfRule>
    <cfRule type="expression" dxfId="115" priority="17">
      <formula>ISBLANK(AB26)</formula>
    </cfRule>
    <cfRule type="expression" dxfId="114" priority="18">
      <formula>AND(J26&lt;&gt;"",AB26&lt;=0)</formula>
    </cfRule>
  </conditionalFormatting>
  <conditionalFormatting sqref="J29:K29">
    <cfRule type="expression" dxfId="113" priority="34">
      <formula>ISERROR(AB29)</formula>
    </cfRule>
    <cfRule type="expression" dxfId="112" priority="35">
      <formula>ISBLANK(AB29)</formula>
    </cfRule>
    <cfRule type="expression" dxfId="111" priority="36">
      <formula>AND(J29&lt;&gt;"",AB29&lt;=0)</formula>
    </cfRule>
  </conditionalFormatting>
  <conditionalFormatting sqref="J27:K27">
    <cfRule type="expression" dxfId="110" priority="13">
      <formula>ISERROR(AB27)</formula>
    </cfRule>
    <cfRule type="expression" dxfId="109" priority="14">
      <formula>ISBLANK(AB27)</formula>
    </cfRule>
    <cfRule type="expression" dxfId="108" priority="15">
      <formula>AND(J27&lt;&gt;"",AB27&lt;=0)</formula>
    </cfRule>
  </conditionalFormatting>
  <conditionalFormatting sqref="J28:K28">
    <cfRule type="expression" dxfId="107" priority="31">
      <formula>ISERROR(AB28)</formula>
    </cfRule>
    <cfRule type="expression" dxfId="106" priority="32">
      <formula>ISBLANK(AB28)</formula>
    </cfRule>
    <cfRule type="expression" dxfId="105" priority="33">
      <formula>AND(J28&lt;&gt;"",AB28&lt;=0)</formula>
    </cfRule>
  </conditionalFormatting>
  <conditionalFormatting sqref="J22:K22">
    <cfRule type="expression" dxfId="104" priority="28">
      <formula>ISERROR(AB22)</formula>
    </cfRule>
    <cfRule type="expression" dxfId="103" priority="29">
      <formula>ISBLANK(AB22)</formula>
    </cfRule>
    <cfRule type="expression" dxfId="102" priority="30">
      <formula>AND(J22&lt;&gt;"",AB22&lt;=0)</formula>
    </cfRule>
  </conditionalFormatting>
  <conditionalFormatting sqref="J23:K23">
    <cfRule type="expression" dxfId="101" priority="25">
      <formula>ISERROR(AB23)</formula>
    </cfRule>
    <cfRule type="expression" dxfId="100" priority="26">
      <formula>ISBLANK(AB23)</formula>
    </cfRule>
    <cfRule type="expression" dxfId="99" priority="27">
      <formula>AND(J23&lt;&gt;"",AB23&lt;=0)</formula>
    </cfRule>
  </conditionalFormatting>
  <conditionalFormatting sqref="J24:K24">
    <cfRule type="expression" dxfId="98" priority="22">
      <formula>ISERROR(AB24)</formula>
    </cfRule>
    <cfRule type="expression" dxfId="97" priority="23">
      <formula>ISBLANK(AB24)</formula>
    </cfRule>
    <cfRule type="expression" dxfId="96" priority="24">
      <formula>AND(J24&lt;&gt;"",AB24&lt;=0)</formula>
    </cfRule>
  </conditionalFormatting>
  <conditionalFormatting sqref="J25:K25">
    <cfRule type="expression" dxfId="95" priority="19">
      <formula>ISERROR(AB25)</formula>
    </cfRule>
    <cfRule type="expression" dxfId="94" priority="20">
      <formula>ISBLANK(AB25)</formula>
    </cfRule>
    <cfRule type="expression" dxfId="93" priority="21">
      <formula>AND(J25&lt;&gt;"",AB25&lt;=0)</formula>
    </cfRule>
  </conditionalFormatting>
  <conditionalFormatting sqref="J9:K9">
    <cfRule type="expression" dxfId="92" priority="10">
      <formula>ISERROR(AB9)</formula>
    </cfRule>
    <cfRule type="expression" dxfId="91" priority="11">
      <formula>ISBLANK(AB9)</formula>
    </cfRule>
    <cfRule type="expression" dxfId="90" priority="12">
      <formula>AND(J9&lt;&gt;"",AB9&lt;=0)</formula>
    </cfRule>
  </conditionalFormatting>
  <conditionalFormatting sqref="J10:K10">
    <cfRule type="expression" dxfId="89" priority="7">
      <formula>ISERROR(AB10)</formula>
    </cfRule>
    <cfRule type="expression" dxfId="88" priority="8">
      <formula>ISBLANK(AB10)</formula>
    </cfRule>
    <cfRule type="expression" dxfId="87" priority="9">
      <formula>AND(J10&lt;&gt;"",AB10&lt;=0)</formula>
    </cfRule>
  </conditionalFormatting>
  <conditionalFormatting sqref="J11:K11">
    <cfRule type="expression" dxfId="86" priority="4">
      <formula>ISERROR(AB11)</formula>
    </cfRule>
    <cfRule type="expression" dxfId="85" priority="5">
      <formula>ISBLANK(AB11)</formula>
    </cfRule>
    <cfRule type="expression" dxfId="84" priority="6">
      <formula>AND(J11&lt;&gt;"",AB11&lt;=0)</formula>
    </cfRule>
  </conditionalFormatting>
  <conditionalFormatting sqref="J12:K12">
    <cfRule type="expression" dxfId="83" priority="1">
      <formula>ISERROR(AB12)</formula>
    </cfRule>
    <cfRule type="expression" dxfId="82" priority="2">
      <formula>ISBLANK(AB12)</formula>
    </cfRule>
    <cfRule type="expression" dxfId="81" priority="3">
      <formula>AND(J12&lt;&gt;"",AB12&lt;=0)</formula>
    </cfRule>
  </conditionalFormatting>
  <printOptions horizontalCentered="1"/>
  <pageMargins left="0.23622047244094491" right="0.23622047244094491" top="0.39370078740157483" bottom="0.39370078740157483" header="0" footer="0"/>
  <pageSetup paperSize="9" fitToHeight="0" orientation="landscape" r:id="rId1"/>
  <headerFooter alignWithMargins="0">
    <oddFooter>&amp;L&amp;F&amp;R&amp;P / &amp;N</oddFooter>
  </headerFooter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086079-E914-42BC-9F74-8D8DF9B5D49C}">
  <sheetPr codeName="Sheet15"/>
  <dimension ref="A1:AE43"/>
  <sheetViews>
    <sheetView showGridLines="0" view="pageBreakPreview" zoomScaleNormal="85" zoomScaleSheetLayoutView="100" workbookViewId="0">
      <selection activeCell="L25" sqref="L25"/>
    </sheetView>
  </sheetViews>
  <sheetFormatPr defaultColWidth="5.625" defaultRowHeight="13.5" x14ac:dyDescent="0.15"/>
  <cols>
    <col min="1" max="16" width="5.625" style="12" customWidth="1"/>
    <col min="17" max="25" width="5.625" style="12"/>
    <col min="26" max="26" width="12.75" style="96" bestFit="1" customWidth="1"/>
    <col min="27" max="27" width="12.75" style="12" bestFit="1" customWidth="1"/>
    <col min="28" max="28" width="18.375" style="12" bestFit="1" customWidth="1"/>
    <col min="29" max="238" width="5.625" style="12"/>
    <col min="239" max="254" width="5.625" style="12" customWidth="1"/>
    <col min="255" max="494" width="5.625" style="12"/>
    <col min="495" max="510" width="5.625" style="12" customWidth="1"/>
    <col min="511" max="750" width="5.625" style="12"/>
    <col min="751" max="766" width="5.625" style="12" customWidth="1"/>
    <col min="767" max="1006" width="5.625" style="12"/>
    <col min="1007" max="1022" width="5.625" style="12" customWidth="1"/>
    <col min="1023" max="1262" width="5.625" style="12"/>
    <col min="1263" max="1278" width="5.625" style="12" customWidth="1"/>
    <col min="1279" max="1518" width="5.625" style="12"/>
    <col min="1519" max="1534" width="5.625" style="12" customWidth="1"/>
    <col min="1535" max="1774" width="5.625" style="12"/>
    <col min="1775" max="1790" width="5.625" style="12" customWidth="1"/>
    <col min="1791" max="2030" width="5.625" style="12"/>
    <col min="2031" max="2046" width="5.625" style="12" customWidth="1"/>
    <col min="2047" max="2286" width="5.625" style="12"/>
    <col min="2287" max="2302" width="5.625" style="12" customWidth="1"/>
    <col min="2303" max="2542" width="5.625" style="12"/>
    <col min="2543" max="2558" width="5.625" style="12" customWidth="1"/>
    <col min="2559" max="2798" width="5.625" style="12"/>
    <col min="2799" max="2814" width="5.625" style="12" customWidth="1"/>
    <col min="2815" max="3054" width="5.625" style="12"/>
    <col min="3055" max="3070" width="5.625" style="12" customWidth="1"/>
    <col min="3071" max="3310" width="5.625" style="12"/>
    <col min="3311" max="3326" width="5.625" style="12" customWidth="1"/>
    <col min="3327" max="3566" width="5.625" style="12"/>
    <col min="3567" max="3582" width="5.625" style="12" customWidth="1"/>
    <col min="3583" max="3822" width="5.625" style="12"/>
    <col min="3823" max="3838" width="5.625" style="12" customWidth="1"/>
    <col min="3839" max="4078" width="5.625" style="12"/>
    <col min="4079" max="4094" width="5.625" style="12" customWidth="1"/>
    <col min="4095" max="4334" width="5.625" style="12"/>
    <col min="4335" max="4350" width="5.625" style="12" customWidth="1"/>
    <col min="4351" max="4590" width="5.625" style="12"/>
    <col min="4591" max="4606" width="5.625" style="12" customWidth="1"/>
    <col min="4607" max="4846" width="5.625" style="12"/>
    <col min="4847" max="4862" width="5.625" style="12" customWidth="1"/>
    <col min="4863" max="5102" width="5.625" style="12"/>
    <col min="5103" max="5118" width="5.625" style="12" customWidth="1"/>
    <col min="5119" max="5358" width="5.625" style="12"/>
    <col min="5359" max="5374" width="5.625" style="12" customWidth="1"/>
    <col min="5375" max="5614" width="5.625" style="12"/>
    <col min="5615" max="5630" width="5.625" style="12" customWidth="1"/>
    <col min="5631" max="5870" width="5.625" style="12"/>
    <col min="5871" max="5886" width="5.625" style="12" customWidth="1"/>
    <col min="5887" max="6126" width="5.625" style="12"/>
    <col min="6127" max="6142" width="5.625" style="12" customWidth="1"/>
    <col min="6143" max="6382" width="5.625" style="12"/>
    <col min="6383" max="6398" width="5.625" style="12" customWidth="1"/>
    <col min="6399" max="6638" width="5.625" style="12"/>
    <col min="6639" max="6654" width="5.625" style="12" customWidth="1"/>
    <col min="6655" max="6894" width="5.625" style="12"/>
    <col min="6895" max="6910" width="5.625" style="12" customWidth="1"/>
    <col min="6911" max="7150" width="5.625" style="12"/>
    <col min="7151" max="7166" width="5.625" style="12" customWidth="1"/>
    <col min="7167" max="7406" width="5.625" style="12"/>
    <col min="7407" max="7422" width="5.625" style="12" customWidth="1"/>
    <col min="7423" max="7662" width="5.625" style="12"/>
    <col min="7663" max="7678" width="5.625" style="12" customWidth="1"/>
    <col min="7679" max="7918" width="5.625" style="12"/>
    <col min="7919" max="7934" width="5.625" style="12" customWidth="1"/>
    <col min="7935" max="8174" width="5.625" style="12"/>
    <col min="8175" max="8190" width="5.625" style="12" customWidth="1"/>
    <col min="8191" max="8430" width="5.625" style="12"/>
    <col min="8431" max="8446" width="5.625" style="12" customWidth="1"/>
    <col min="8447" max="8686" width="5.625" style="12"/>
    <col min="8687" max="8702" width="5.625" style="12" customWidth="1"/>
    <col min="8703" max="8942" width="5.625" style="12"/>
    <col min="8943" max="8958" width="5.625" style="12" customWidth="1"/>
    <col min="8959" max="9198" width="5.625" style="12"/>
    <col min="9199" max="9214" width="5.625" style="12" customWidth="1"/>
    <col min="9215" max="9454" width="5.625" style="12"/>
    <col min="9455" max="9470" width="5.625" style="12" customWidth="1"/>
    <col min="9471" max="9710" width="5.625" style="12"/>
    <col min="9711" max="9726" width="5.625" style="12" customWidth="1"/>
    <col min="9727" max="9966" width="5.625" style="12"/>
    <col min="9967" max="9982" width="5.625" style="12" customWidth="1"/>
    <col min="9983" max="10222" width="5.625" style="12"/>
    <col min="10223" max="10238" width="5.625" style="12" customWidth="1"/>
    <col min="10239" max="10478" width="5.625" style="12"/>
    <col min="10479" max="10494" width="5.625" style="12" customWidth="1"/>
    <col min="10495" max="10734" width="5.625" style="12"/>
    <col min="10735" max="10750" width="5.625" style="12" customWidth="1"/>
    <col min="10751" max="10990" width="5.625" style="12"/>
    <col min="10991" max="11006" width="5.625" style="12" customWidth="1"/>
    <col min="11007" max="11246" width="5.625" style="12"/>
    <col min="11247" max="11262" width="5.625" style="12" customWidth="1"/>
    <col min="11263" max="11502" width="5.625" style="12"/>
    <col min="11503" max="11518" width="5.625" style="12" customWidth="1"/>
    <col min="11519" max="11758" width="5.625" style="12"/>
    <col min="11759" max="11774" width="5.625" style="12" customWidth="1"/>
    <col min="11775" max="12014" width="5.625" style="12"/>
    <col min="12015" max="12030" width="5.625" style="12" customWidth="1"/>
    <col min="12031" max="12270" width="5.625" style="12"/>
    <col min="12271" max="12286" width="5.625" style="12" customWidth="1"/>
    <col min="12287" max="12526" width="5.625" style="12"/>
    <col min="12527" max="12542" width="5.625" style="12" customWidth="1"/>
    <col min="12543" max="12782" width="5.625" style="12"/>
    <col min="12783" max="12798" width="5.625" style="12" customWidth="1"/>
    <col min="12799" max="13038" width="5.625" style="12"/>
    <col min="13039" max="13054" width="5.625" style="12" customWidth="1"/>
    <col min="13055" max="13294" width="5.625" style="12"/>
    <col min="13295" max="13310" width="5.625" style="12" customWidth="1"/>
    <col min="13311" max="13550" width="5.625" style="12"/>
    <col min="13551" max="13566" width="5.625" style="12" customWidth="1"/>
    <col min="13567" max="13806" width="5.625" style="12"/>
    <col min="13807" max="13822" width="5.625" style="12" customWidth="1"/>
    <col min="13823" max="14062" width="5.625" style="12"/>
    <col min="14063" max="14078" width="5.625" style="12" customWidth="1"/>
    <col min="14079" max="14318" width="5.625" style="12"/>
    <col min="14319" max="14334" width="5.625" style="12" customWidth="1"/>
    <col min="14335" max="14574" width="5.625" style="12"/>
    <col min="14575" max="14590" width="5.625" style="12" customWidth="1"/>
    <col min="14591" max="14830" width="5.625" style="12"/>
    <col min="14831" max="14846" width="5.625" style="12" customWidth="1"/>
    <col min="14847" max="15086" width="5.625" style="12"/>
    <col min="15087" max="15102" width="5.625" style="12" customWidth="1"/>
    <col min="15103" max="15342" width="5.625" style="12"/>
    <col min="15343" max="15358" width="5.625" style="12" customWidth="1"/>
    <col min="15359" max="15598" width="5.625" style="12"/>
    <col min="15599" max="15614" width="5.625" style="12" customWidth="1"/>
    <col min="15615" max="15854" width="5.625" style="12"/>
    <col min="15855" max="15870" width="5.625" style="12" customWidth="1"/>
    <col min="15871" max="16110" width="5.625" style="12"/>
    <col min="16111" max="16126" width="5.625" style="12" customWidth="1"/>
    <col min="16127" max="16384" width="5.625" style="12"/>
  </cols>
  <sheetData>
    <row r="1" spans="1:31" ht="13.5" customHeight="1" x14ac:dyDescent="0.15">
      <c r="A1" s="260" t="s">
        <v>81</v>
      </c>
      <c r="B1" s="261"/>
      <c r="C1" s="261"/>
      <c r="D1" s="261"/>
      <c r="E1" s="261"/>
      <c r="F1" s="262"/>
      <c r="G1" s="311" t="s">
        <v>5</v>
      </c>
      <c r="H1" s="312"/>
      <c r="I1" s="313"/>
      <c r="J1" s="21"/>
      <c r="K1" s="94"/>
      <c r="L1" s="94"/>
      <c r="M1" s="94"/>
      <c r="N1" s="94"/>
      <c r="O1" s="94"/>
      <c r="P1" s="311" t="s">
        <v>8</v>
      </c>
      <c r="Q1" s="313"/>
      <c r="R1" s="311" t="s">
        <v>7</v>
      </c>
      <c r="S1" s="312"/>
      <c r="T1" s="313"/>
      <c r="U1" s="311" t="s">
        <v>9</v>
      </c>
      <c r="V1" s="313"/>
      <c r="W1" s="311" t="s">
        <v>10</v>
      </c>
      <c r="X1" s="312"/>
      <c r="Y1" s="313"/>
      <c r="Z1" s="107"/>
      <c r="AA1" s="12" t="s">
        <v>128</v>
      </c>
      <c r="AE1" s="12" t="s">
        <v>124</v>
      </c>
    </row>
    <row r="2" spans="1:31" ht="13.5" customHeight="1" x14ac:dyDescent="0.15">
      <c r="A2" s="266"/>
      <c r="B2" s="267"/>
      <c r="C2" s="267"/>
      <c r="D2" s="267"/>
      <c r="E2" s="267"/>
      <c r="F2" s="268"/>
      <c r="G2" s="311" t="s">
        <v>6</v>
      </c>
      <c r="H2" s="312"/>
      <c r="I2" s="313"/>
      <c r="J2" s="21"/>
      <c r="K2" s="95"/>
      <c r="L2" s="95"/>
      <c r="M2" s="95"/>
      <c r="N2" s="95"/>
      <c r="O2" s="95"/>
      <c r="P2" s="246"/>
      <c r="Q2" s="247"/>
      <c r="R2" s="273"/>
      <c r="S2" s="274"/>
      <c r="T2" s="275"/>
      <c r="U2" s="246"/>
      <c r="V2" s="247"/>
      <c r="W2" s="273"/>
      <c r="X2" s="274"/>
      <c r="Y2" s="275"/>
      <c r="Z2" s="107"/>
      <c r="AA2" s="12">
        <f>SUM(AB:AB)</f>
        <v>150</v>
      </c>
    </row>
    <row r="3" spans="1:31" ht="13.5" customHeight="1" x14ac:dyDescent="0.15">
      <c r="A3" s="311" t="s">
        <v>82</v>
      </c>
      <c r="B3" s="312"/>
      <c r="C3" s="21" t="str">
        <f ca="1">RIGHT(CELL("filename",A2),LEN(CELL("filename",A2))-FIND("]",CELL("filename",A2)))</f>
        <v>ｴｽｶ緊急度ﾏｽﾀ</v>
      </c>
      <c r="D3" s="95"/>
      <c r="E3" s="95"/>
      <c r="F3" s="95"/>
      <c r="G3" s="311" t="s">
        <v>83</v>
      </c>
      <c r="H3" s="312"/>
      <c r="I3" s="313"/>
      <c r="J3" s="21" t="s">
        <v>240</v>
      </c>
      <c r="K3" s="95"/>
      <c r="L3" s="95"/>
      <c r="M3" s="95"/>
      <c r="N3" s="95"/>
      <c r="O3" s="95"/>
      <c r="P3" s="248"/>
      <c r="Q3" s="249"/>
      <c r="R3" s="276"/>
      <c r="S3" s="277"/>
      <c r="T3" s="278"/>
      <c r="U3" s="248"/>
      <c r="V3" s="249"/>
      <c r="W3" s="276"/>
      <c r="X3" s="277"/>
      <c r="Y3" s="278"/>
      <c r="Z3" s="107"/>
    </row>
    <row r="4" spans="1:31" x14ac:dyDescent="0.15">
      <c r="A4" s="86"/>
      <c r="B4" s="18"/>
      <c r="C4" s="18"/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  <c r="O4" s="18"/>
      <c r="P4" s="18"/>
      <c r="Q4" s="18"/>
      <c r="R4" s="18"/>
      <c r="S4" s="18"/>
      <c r="T4" s="18"/>
      <c r="U4" s="18"/>
      <c r="V4" s="18"/>
      <c r="W4" s="18"/>
      <c r="X4" s="18"/>
      <c r="Y4" s="18"/>
      <c r="Z4" s="92"/>
    </row>
    <row r="5" spans="1:31" ht="13.5" customHeight="1" x14ac:dyDescent="0.15">
      <c r="A5" s="83" t="s">
        <v>93</v>
      </c>
      <c r="B5" s="84"/>
      <c r="C5" s="84"/>
      <c r="D5" s="84"/>
      <c r="E5" s="84"/>
      <c r="F5" s="84"/>
      <c r="G5" s="84"/>
      <c r="H5" s="84"/>
      <c r="I5" s="84"/>
      <c r="J5" s="84"/>
      <c r="K5" s="84"/>
      <c r="L5" s="84"/>
      <c r="M5" s="84"/>
      <c r="N5" s="84"/>
      <c r="O5" s="84"/>
      <c r="P5" s="84"/>
      <c r="Q5" s="84"/>
      <c r="R5" s="84"/>
      <c r="S5" s="84"/>
      <c r="T5" s="84"/>
      <c r="U5" s="84"/>
      <c r="V5" s="84"/>
      <c r="W5" s="84"/>
      <c r="X5" s="84"/>
      <c r="Y5" s="85"/>
      <c r="Z5" s="92"/>
    </row>
    <row r="6" spans="1:31" x14ac:dyDescent="0.15">
      <c r="A6" s="164"/>
      <c r="B6" s="165"/>
      <c r="C6" s="165"/>
      <c r="D6" s="165"/>
      <c r="E6" s="165"/>
      <c r="F6" s="165"/>
      <c r="G6" s="165"/>
      <c r="H6" s="165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165"/>
      <c r="U6" s="165"/>
      <c r="V6" s="165"/>
      <c r="W6" s="165"/>
      <c r="X6" s="165"/>
      <c r="Y6" s="166"/>
      <c r="Z6" s="92"/>
    </row>
    <row r="7" spans="1:31" x14ac:dyDescent="0.15">
      <c r="A7" s="17"/>
      <c r="B7" s="163" t="s">
        <v>84</v>
      </c>
      <c r="C7" s="311" t="s">
        <v>205</v>
      </c>
      <c r="D7" s="312"/>
      <c r="E7" s="312"/>
      <c r="F7" s="313"/>
      <c r="G7" s="311" t="s">
        <v>83</v>
      </c>
      <c r="H7" s="312"/>
      <c r="I7" s="313"/>
      <c r="J7" s="311" t="s">
        <v>85</v>
      </c>
      <c r="K7" s="313"/>
      <c r="L7" s="97" t="s">
        <v>86</v>
      </c>
      <c r="M7" s="97" t="s">
        <v>87</v>
      </c>
      <c r="N7" s="97" t="s">
        <v>121</v>
      </c>
      <c r="O7" s="97" t="s">
        <v>88</v>
      </c>
      <c r="P7" s="97" t="s">
        <v>89</v>
      </c>
      <c r="Q7" s="97" t="s">
        <v>89</v>
      </c>
      <c r="R7" s="97" t="s">
        <v>89</v>
      </c>
      <c r="S7" s="97" t="s">
        <v>89</v>
      </c>
      <c r="T7" s="97" t="s">
        <v>89</v>
      </c>
      <c r="U7" s="311" t="s">
        <v>90</v>
      </c>
      <c r="V7" s="312"/>
      <c r="W7" s="312"/>
      <c r="X7" s="313"/>
      <c r="Y7" s="98"/>
      <c r="Z7" s="96" t="s">
        <v>126</v>
      </c>
      <c r="AA7" s="12" t="s">
        <v>127</v>
      </c>
      <c r="AB7" s="12" t="s">
        <v>125</v>
      </c>
    </row>
    <row r="8" spans="1:31" x14ac:dyDescent="0.15">
      <c r="A8" s="17"/>
      <c r="B8" s="99" t="s">
        <v>94</v>
      </c>
      <c r="C8" s="301" t="s">
        <v>227</v>
      </c>
      <c r="D8" s="302"/>
      <c r="E8" s="302"/>
      <c r="F8" s="303"/>
      <c r="G8" s="304">
        <v>1</v>
      </c>
      <c r="H8" s="305"/>
      <c r="I8" s="306"/>
      <c r="J8" s="304" t="s">
        <v>91</v>
      </c>
      <c r="K8" s="306"/>
      <c r="L8" s="100">
        <v>1</v>
      </c>
      <c r="M8" s="100"/>
      <c r="N8" s="100"/>
      <c r="O8" s="100"/>
      <c r="P8" s="100"/>
      <c r="Q8" s="100"/>
      <c r="R8" s="100"/>
      <c r="S8" s="100"/>
      <c r="T8" s="100"/>
      <c r="U8" s="307" t="s">
        <v>210</v>
      </c>
      <c r="V8" s="308"/>
      <c r="W8" s="308"/>
      <c r="X8" s="309"/>
      <c r="Y8" s="98"/>
      <c r="Z8" s="106">
        <f t="shared" ref="Z8:Z16" si="0">IF(LEFT(J8,7)="decimal",INT(MID(J8,9,FIND(",",J8,9)-9)),0)</f>
        <v>0</v>
      </c>
      <c r="AA8" s="105">
        <f t="shared" ref="AA8:AA37" si="1">IF(J8="varbinary(max)",2147483647,IF(J8="bit",1,IF(LEFT(J8,4)="char",INT(MID(J8,6,LEN(J8)-6)),IF(LEFT(J8,7)="varchar",INT(MID(J8,9,LEN(J8)-9)+2),IF(LEFT(J8,8)="nvarchar",INT(MID(J8,10,LEN(J8)-10)*2+2),IF(LEFT(J8,7)="decimal",IF(Z8&lt;10,5,IF(Z8&lt;20,9,IF(Z8&lt;29,13,17))),0))))))</f>
        <v>0</v>
      </c>
      <c r="AB8" s="105">
        <f t="shared" ref="AB8:AB37" si="2">IF(AA8&gt;0,AA8,IF(J8="date",3,IF(OR(J8="int",J8="real"),4,IF(J8="time",5,IF(OR(J8="datetime",J8="float",J8="datetime2"),8,IF(J8="uniqueidentifier",16,0))))))</f>
        <v>4</v>
      </c>
    </row>
    <row r="9" spans="1:31" x14ac:dyDescent="0.15">
      <c r="A9" s="17"/>
      <c r="B9" s="99">
        <f>B8+1</f>
        <v>2</v>
      </c>
      <c r="C9" s="301" t="s">
        <v>256</v>
      </c>
      <c r="D9" s="302"/>
      <c r="E9" s="302"/>
      <c r="F9" s="303"/>
      <c r="G9" s="304">
        <v>1</v>
      </c>
      <c r="H9" s="305"/>
      <c r="I9" s="306"/>
      <c r="J9" s="304" t="s">
        <v>91</v>
      </c>
      <c r="K9" s="306"/>
      <c r="L9" s="100">
        <v>2</v>
      </c>
      <c r="M9" s="100"/>
      <c r="N9" s="150"/>
      <c r="O9" s="100"/>
      <c r="P9" s="100"/>
      <c r="Q9" s="100"/>
      <c r="R9" s="100"/>
      <c r="S9" s="100"/>
      <c r="T9" s="100"/>
      <c r="U9" s="307" t="s">
        <v>280</v>
      </c>
      <c r="V9" s="308"/>
      <c r="W9" s="308"/>
      <c r="X9" s="309"/>
      <c r="Y9" s="98"/>
      <c r="Z9" s="106">
        <f t="shared" si="0"/>
        <v>0</v>
      </c>
      <c r="AA9" s="105">
        <f t="shared" si="1"/>
        <v>0</v>
      </c>
      <c r="AB9" s="105">
        <f t="shared" si="2"/>
        <v>4</v>
      </c>
    </row>
    <row r="10" spans="1:31" x14ac:dyDescent="0.15">
      <c r="A10" s="17"/>
      <c r="B10" s="99">
        <f t="shared" ref="B10:B37" si="3">B9+1</f>
        <v>3</v>
      </c>
      <c r="C10" s="301" t="s">
        <v>341</v>
      </c>
      <c r="D10" s="302"/>
      <c r="E10" s="302"/>
      <c r="F10" s="303"/>
      <c r="G10" s="304">
        <v>1</v>
      </c>
      <c r="H10" s="305"/>
      <c r="I10" s="306"/>
      <c r="J10" s="304" t="s">
        <v>342</v>
      </c>
      <c r="K10" s="306"/>
      <c r="L10" s="100"/>
      <c r="M10" s="171"/>
      <c r="N10" s="100"/>
      <c r="O10" s="100"/>
      <c r="P10" s="100"/>
      <c r="Q10" s="100"/>
      <c r="R10" s="100"/>
      <c r="S10" s="100"/>
      <c r="T10" s="100"/>
      <c r="U10" s="307"/>
      <c r="V10" s="308"/>
      <c r="W10" s="308"/>
      <c r="X10" s="309"/>
      <c r="Y10" s="98"/>
      <c r="Z10" s="106">
        <f t="shared" si="0"/>
        <v>0</v>
      </c>
      <c r="AA10" s="105">
        <f t="shared" si="1"/>
        <v>130</v>
      </c>
      <c r="AB10" s="105">
        <f t="shared" si="2"/>
        <v>130</v>
      </c>
    </row>
    <row r="11" spans="1:31" x14ac:dyDescent="0.15">
      <c r="A11" s="17"/>
      <c r="B11" s="99">
        <f t="shared" si="3"/>
        <v>4</v>
      </c>
      <c r="C11" s="301" t="s">
        <v>337</v>
      </c>
      <c r="D11" s="302"/>
      <c r="E11" s="302"/>
      <c r="F11" s="303"/>
      <c r="G11" s="304">
        <v>1</v>
      </c>
      <c r="H11" s="305"/>
      <c r="I11" s="306"/>
      <c r="J11" s="304" t="s">
        <v>91</v>
      </c>
      <c r="K11" s="306"/>
      <c r="L11" s="100"/>
      <c r="M11" s="184" t="s">
        <v>92</v>
      </c>
      <c r="N11" s="100">
        <v>0</v>
      </c>
      <c r="O11" s="100"/>
      <c r="P11" s="100"/>
      <c r="Q11" s="100"/>
      <c r="R11" s="100"/>
      <c r="S11" s="100"/>
      <c r="T11" s="100"/>
      <c r="U11" s="307" t="s">
        <v>310</v>
      </c>
      <c r="V11" s="308"/>
      <c r="W11" s="308"/>
      <c r="X11" s="309"/>
      <c r="Y11" s="98"/>
      <c r="Z11" s="106">
        <f t="shared" si="0"/>
        <v>0</v>
      </c>
      <c r="AA11" s="105">
        <f t="shared" si="1"/>
        <v>0</v>
      </c>
      <c r="AB11" s="105">
        <f t="shared" si="2"/>
        <v>4</v>
      </c>
    </row>
    <row r="12" spans="1:31" x14ac:dyDescent="0.15">
      <c r="A12" s="17"/>
      <c r="B12" s="99">
        <f t="shared" si="3"/>
        <v>5</v>
      </c>
      <c r="C12" s="301" t="s">
        <v>338</v>
      </c>
      <c r="D12" s="302"/>
      <c r="E12" s="302"/>
      <c r="F12" s="303"/>
      <c r="G12" s="304">
        <v>1</v>
      </c>
      <c r="H12" s="305"/>
      <c r="I12" s="306"/>
      <c r="J12" s="304" t="s">
        <v>91</v>
      </c>
      <c r="K12" s="306"/>
      <c r="L12" s="100"/>
      <c r="M12" s="184" t="s">
        <v>92</v>
      </c>
      <c r="N12" s="100">
        <v>0</v>
      </c>
      <c r="O12" s="100"/>
      <c r="P12" s="100"/>
      <c r="Q12" s="100"/>
      <c r="R12" s="100"/>
      <c r="S12" s="100"/>
      <c r="T12" s="100"/>
      <c r="U12" s="307" t="s">
        <v>311</v>
      </c>
      <c r="V12" s="308"/>
      <c r="W12" s="308"/>
      <c r="X12" s="309"/>
      <c r="Y12" s="98"/>
      <c r="Z12" s="106">
        <f t="shared" si="0"/>
        <v>0</v>
      </c>
      <c r="AA12" s="105">
        <f t="shared" si="1"/>
        <v>0</v>
      </c>
      <c r="AB12" s="105">
        <f t="shared" si="2"/>
        <v>4</v>
      </c>
    </row>
    <row r="13" spans="1:31" x14ac:dyDescent="0.15">
      <c r="A13" s="17"/>
      <c r="B13" s="99">
        <f t="shared" si="3"/>
        <v>6</v>
      </c>
      <c r="C13" s="301" t="s">
        <v>339</v>
      </c>
      <c r="D13" s="302"/>
      <c r="E13" s="302"/>
      <c r="F13" s="303"/>
      <c r="G13" s="304">
        <v>1</v>
      </c>
      <c r="H13" s="305"/>
      <c r="I13" s="306"/>
      <c r="J13" s="304" t="s">
        <v>91</v>
      </c>
      <c r="K13" s="306"/>
      <c r="L13" s="100"/>
      <c r="M13" s="184" t="s">
        <v>92</v>
      </c>
      <c r="N13" s="100">
        <v>0</v>
      </c>
      <c r="O13" s="100"/>
      <c r="P13" s="100"/>
      <c r="Q13" s="100"/>
      <c r="R13" s="100"/>
      <c r="S13" s="100"/>
      <c r="T13" s="100"/>
      <c r="U13" s="307" t="s">
        <v>312</v>
      </c>
      <c r="V13" s="308"/>
      <c r="W13" s="308"/>
      <c r="X13" s="309"/>
      <c r="Y13" s="98"/>
      <c r="Z13" s="106">
        <f t="shared" si="0"/>
        <v>0</v>
      </c>
      <c r="AA13" s="105">
        <f t="shared" si="1"/>
        <v>0</v>
      </c>
      <c r="AB13" s="105">
        <f>IF(AA13&gt;0,AA13,IF(J13="date",3,IF(OR(J13="int",J13="real"),4,IF(J13="time",5,IF(OR(J13="datetime",J13="float",J13="datetime2"),8,IF(J13="uniqueidentifier",16,0))))))</f>
        <v>4</v>
      </c>
    </row>
    <row r="14" spans="1:31" x14ac:dyDescent="0.15">
      <c r="A14" s="17"/>
      <c r="B14" s="99">
        <f t="shared" si="3"/>
        <v>7</v>
      </c>
      <c r="C14" s="301"/>
      <c r="D14" s="302"/>
      <c r="E14" s="302"/>
      <c r="F14" s="303"/>
      <c r="G14" s="304"/>
      <c r="H14" s="305"/>
      <c r="I14" s="306"/>
      <c r="J14" s="304"/>
      <c r="K14" s="306"/>
      <c r="L14" s="100"/>
      <c r="M14" s="162"/>
      <c r="N14" s="100"/>
      <c r="O14" s="100"/>
      <c r="P14" s="100"/>
      <c r="Q14" s="100"/>
      <c r="R14" s="100"/>
      <c r="S14" s="100"/>
      <c r="T14" s="100"/>
      <c r="U14" s="301"/>
      <c r="V14" s="302"/>
      <c r="W14" s="302"/>
      <c r="X14" s="303"/>
      <c r="Y14" s="98"/>
      <c r="Z14" s="106">
        <f t="shared" si="0"/>
        <v>0</v>
      </c>
      <c r="AA14" s="105">
        <f t="shared" si="1"/>
        <v>0</v>
      </c>
      <c r="AB14" s="105">
        <f t="shared" si="2"/>
        <v>0</v>
      </c>
    </row>
    <row r="15" spans="1:31" x14ac:dyDescent="0.15">
      <c r="A15" s="101"/>
      <c r="B15" s="99">
        <f t="shared" si="3"/>
        <v>8</v>
      </c>
      <c r="C15" s="301"/>
      <c r="D15" s="302"/>
      <c r="E15" s="302"/>
      <c r="F15" s="303"/>
      <c r="G15" s="304"/>
      <c r="H15" s="305"/>
      <c r="I15" s="306"/>
      <c r="J15" s="304"/>
      <c r="K15" s="306"/>
      <c r="L15" s="100"/>
      <c r="M15" s="162"/>
      <c r="N15" s="100"/>
      <c r="O15" s="100"/>
      <c r="P15" s="100"/>
      <c r="Q15" s="100"/>
      <c r="R15" s="100"/>
      <c r="S15" s="100"/>
      <c r="T15" s="100"/>
      <c r="U15" s="301"/>
      <c r="V15" s="302"/>
      <c r="W15" s="302"/>
      <c r="X15" s="303"/>
      <c r="Y15" s="98"/>
      <c r="Z15" s="106">
        <f t="shared" si="0"/>
        <v>0</v>
      </c>
      <c r="AA15" s="105">
        <f t="shared" si="1"/>
        <v>0</v>
      </c>
      <c r="AB15" s="105">
        <f t="shared" si="2"/>
        <v>0</v>
      </c>
    </row>
    <row r="16" spans="1:31" x14ac:dyDescent="0.15">
      <c r="A16" s="101"/>
      <c r="B16" s="99">
        <f t="shared" si="3"/>
        <v>9</v>
      </c>
      <c r="C16" s="301"/>
      <c r="D16" s="302"/>
      <c r="E16" s="302"/>
      <c r="F16" s="303"/>
      <c r="G16" s="304"/>
      <c r="H16" s="305"/>
      <c r="I16" s="306"/>
      <c r="J16" s="304"/>
      <c r="K16" s="306"/>
      <c r="L16" s="100"/>
      <c r="M16" s="184"/>
      <c r="N16" s="100"/>
      <c r="O16" s="100"/>
      <c r="P16" s="100"/>
      <c r="Q16" s="100"/>
      <c r="R16" s="100"/>
      <c r="S16" s="100"/>
      <c r="T16" s="100"/>
      <c r="U16" s="307"/>
      <c r="V16" s="308"/>
      <c r="W16" s="308"/>
      <c r="X16" s="309"/>
      <c r="Y16" s="98"/>
      <c r="Z16" s="106">
        <f t="shared" si="0"/>
        <v>0</v>
      </c>
      <c r="AA16" s="105">
        <f t="shared" si="1"/>
        <v>0</v>
      </c>
      <c r="AB16" s="105">
        <f t="shared" si="2"/>
        <v>0</v>
      </c>
    </row>
    <row r="17" spans="1:28" x14ac:dyDescent="0.15">
      <c r="A17" s="101"/>
      <c r="B17" s="99">
        <f t="shared" si="3"/>
        <v>10</v>
      </c>
      <c r="C17" s="301"/>
      <c r="D17" s="302"/>
      <c r="E17" s="302"/>
      <c r="F17" s="303"/>
      <c r="G17" s="304"/>
      <c r="H17" s="305"/>
      <c r="I17" s="306"/>
      <c r="J17" s="304"/>
      <c r="K17" s="306"/>
      <c r="L17" s="100"/>
      <c r="M17" s="184"/>
      <c r="N17" s="100"/>
      <c r="O17" s="100"/>
      <c r="P17" s="100"/>
      <c r="Q17" s="100"/>
      <c r="R17" s="100"/>
      <c r="S17" s="100"/>
      <c r="T17" s="100"/>
      <c r="U17" s="307"/>
      <c r="V17" s="308"/>
      <c r="W17" s="308"/>
      <c r="X17" s="309"/>
      <c r="Y17" s="98"/>
      <c r="Z17" s="106">
        <f>IF(LEFT(J17,7)="decimal",INT(MID(J17,9,FIND(",",J17,9)-9)),0)</f>
        <v>0</v>
      </c>
      <c r="AA17" s="105">
        <f t="shared" si="1"/>
        <v>0</v>
      </c>
      <c r="AB17" s="105">
        <f t="shared" si="2"/>
        <v>0</v>
      </c>
    </row>
    <row r="18" spans="1:28" x14ac:dyDescent="0.15">
      <c r="A18" s="101"/>
      <c r="B18" s="99">
        <f t="shared" si="3"/>
        <v>11</v>
      </c>
      <c r="C18" s="301"/>
      <c r="D18" s="302"/>
      <c r="E18" s="302"/>
      <c r="F18" s="303"/>
      <c r="G18" s="304"/>
      <c r="H18" s="305"/>
      <c r="I18" s="306"/>
      <c r="J18" s="304"/>
      <c r="K18" s="306"/>
      <c r="L18" s="100"/>
      <c r="M18" s="184"/>
      <c r="N18" s="100"/>
      <c r="O18" s="100"/>
      <c r="P18" s="100"/>
      <c r="Q18" s="100"/>
      <c r="R18" s="100"/>
      <c r="S18" s="100"/>
      <c r="T18" s="100"/>
      <c r="U18" s="307"/>
      <c r="V18" s="308"/>
      <c r="W18" s="308"/>
      <c r="X18" s="309"/>
      <c r="Y18" s="98"/>
      <c r="Z18" s="106">
        <f t="shared" ref="Z18:Z37" si="4">IF(LEFT(J18,7)="decimal",INT(MID(J18,9,FIND(",",J18,9)-9)),0)</f>
        <v>0</v>
      </c>
      <c r="AA18" s="105">
        <f t="shared" si="1"/>
        <v>0</v>
      </c>
      <c r="AB18" s="105">
        <f t="shared" si="2"/>
        <v>0</v>
      </c>
    </row>
    <row r="19" spans="1:28" x14ac:dyDescent="0.15">
      <c r="A19" s="101"/>
      <c r="B19" s="99">
        <f t="shared" si="3"/>
        <v>12</v>
      </c>
      <c r="C19" s="301"/>
      <c r="D19" s="302"/>
      <c r="E19" s="302"/>
      <c r="F19" s="303"/>
      <c r="G19" s="304"/>
      <c r="H19" s="305"/>
      <c r="I19" s="306"/>
      <c r="J19" s="304"/>
      <c r="K19" s="306"/>
      <c r="L19" s="100"/>
      <c r="M19" s="162"/>
      <c r="N19" s="100"/>
      <c r="O19" s="100"/>
      <c r="P19" s="100"/>
      <c r="Q19" s="100"/>
      <c r="R19" s="100"/>
      <c r="S19" s="100"/>
      <c r="T19" s="100"/>
      <c r="U19" s="301"/>
      <c r="V19" s="302"/>
      <c r="W19" s="302"/>
      <c r="X19" s="303"/>
      <c r="Y19" s="98"/>
      <c r="Z19" s="106">
        <f t="shared" si="4"/>
        <v>0</v>
      </c>
      <c r="AA19" s="105">
        <f t="shared" si="1"/>
        <v>0</v>
      </c>
      <c r="AB19" s="105">
        <f t="shared" si="2"/>
        <v>0</v>
      </c>
    </row>
    <row r="20" spans="1:28" x14ac:dyDescent="0.15">
      <c r="A20" s="101"/>
      <c r="B20" s="99">
        <f t="shared" si="3"/>
        <v>13</v>
      </c>
      <c r="C20" s="301"/>
      <c r="D20" s="302"/>
      <c r="E20" s="302"/>
      <c r="F20" s="303"/>
      <c r="G20" s="304"/>
      <c r="H20" s="305"/>
      <c r="I20" s="306"/>
      <c r="J20" s="304"/>
      <c r="K20" s="306"/>
      <c r="L20" s="100"/>
      <c r="M20" s="162"/>
      <c r="N20" s="100"/>
      <c r="O20" s="100"/>
      <c r="P20" s="100"/>
      <c r="Q20" s="100"/>
      <c r="R20" s="100"/>
      <c r="S20" s="100"/>
      <c r="T20" s="100"/>
      <c r="U20" s="301"/>
      <c r="V20" s="302"/>
      <c r="W20" s="302"/>
      <c r="X20" s="303"/>
      <c r="Y20" s="98"/>
      <c r="Z20" s="106">
        <f t="shared" si="4"/>
        <v>0</v>
      </c>
      <c r="AA20" s="105">
        <f t="shared" si="1"/>
        <v>0</v>
      </c>
      <c r="AB20" s="105">
        <f t="shared" si="2"/>
        <v>0</v>
      </c>
    </row>
    <row r="21" spans="1:28" x14ac:dyDescent="0.15">
      <c r="A21" s="101"/>
      <c r="B21" s="99">
        <f t="shared" si="3"/>
        <v>14</v>
      </c>
      <c r="C21" s="301"/>
      <c r="D21" s="302"/>
      <c r="E21" s="302"/>
      <c r="F21" s="303"/>
      <c r="G21" s="304"/>
      <c r="H21" s="305"/>
      <c r="I21" s="306"/>
      <c r="J21" s="304"/>
      <c r="K21" s="306"/>
      <c r="L21" s="100"/>
      <c r="M21" s="162"/>
      <c r="N21" s="100"/>
      <c r="O21" s="100"/>
      <c r="P21" s="100"/>
      <c r="Q21" s="100"/>
      <c r="R21" s="100"/>
      <c r="S21" s="100"/>
      <c r="T21" s="100"/>
      <c r="U21" s="301"/>
      <c r="V21" s="302"/>
      <c r="W21" s="302"/>
      <c r="X21" s="303"/>
      <c r="Y21" s="98"/>
      <c r="Z21" s="106">
        <f t="shared" si="4"/>
        <v>0</v>
      </c>
      <c r="AA21" s="105">
        <f t="shared" si="1"/>
        <v>0</v>
      </c>
      <c r="AB21" s="105">
        <f t="shared" si="2"/>
        <v>0</v>
      </c>
    </row>
    <row r="22" spans="1:28" x14ac:dyDescent="0.15">
      <c r="A22" s="101"/>
      <c r="B22" s="99">
        <f t="shared" si="3"/>
        <v>15</v>
      </c>
      <c r="C22" s="301"/>
      <c r="D22" s="302"/>
      <c r="E22" s="302"/>
      <c r="F22" s="303"/>
      <c r="G22" s="304"/>
      <c r="H22" s="305"/>
      <c r="I22" s="306"/>
      <c r="J22" s="304"/>
      <c r="K22" s="306"/>
      <c r="L22" s="100"/>
      <c r="M22" s="171"/>
      <c r="N22" s="100"/>
      <c r="O22" s="100"/>
      <c r="P22" s="100"/>
      <c r="Q22" s="100"/>
      <c r="R22" s="100"/>
      <c r="S22" s="100"/>
      <c r="T22" s="100"/>
      <c r="U22" s="301"/>
      <c r="V22" s="302"/>
      <c r="W22" s="302"/>
      <c r="X22" s="303"/>
      <c r="Y22" s="98"/>
      <c r="Z22" s="106">
        <f t="shared" si="4"/>
        <v>0</v>
      </c>
      <c r="AA22" s="105">
        <f t="shared" si="1"/>
        <v>0</v>
      </c>
      <c r="AB22" s="105">
        <f t="shared" si="2"/>
        <v>0</v>
      </c>
    </row>
    <row r="23" spans="1:28" x14ac:dyDescent="0.15">
      <c r="A23" s="101"/>
      <c r="B23" s="99">
        <f t="shared" si="3"/>
        <v>16</v>
      </c>
      <c r="C23" s="301"/>
      <c r="D23" s="302"/>
      <c r="E23" s="302"/>
      <c r="F23" s="303"/>
      <c r="G23" s="304"/>
      <c r="H23" s="305"/>
      <c r="I23" s="306"/>
      <c r="J23" s="304"/>
      <c r="K23" s="306"/>
      <c r="L23" s="100"/>
      <c r="M23" s="171"/>
      <c r="N23" s="100"/>
      <c r="O23" s="100"/>
      <c r="P23" s="100"/>
      <c r="Q23" s="100"/>
      <c r="R23" s="100"/>
      <c r="S23" s="100"/>
      <c r="T23" s="100"/>
      <c r="U23" s="301"/>
      <c r="V23" s="302"/>
      <c r="W23" s="302"/>
      <c r="X23" s="303"/>
      <c r="Y23" s="98"/>
      <c r="Z23" s="106">
        <f t="shared" si="4"/>
        <v>0</v>
      </c>
      <c r="AA23" s="105">
        <f t="shared" si="1"/>
        <v>0</v>
      </c>
      <c r="AB23" s="105">
        <f t="shared" si="2"/>
        <v>0</v>
      </c>
    </row>
    <row r="24" spans="1:28" x14ac:dyDescent="0.15">
      <c r="A24" s="101"/>
      <c r="B24" s="99">
        <f t="shared" si="3"/>
        <v>17</v>
      </c>
      <c r="C24" s="301"/>
      <c r="D24" s="302"/>
      <c r="E24" s="302"/>
      <c r="F24" s="303"/>
      <c r="G24" s="304"/>
      <c r="H24" s="305"/>
      <c r="I24" s="306"/>
      <c r="J24" s="304"/>
      <c r="K24" s="306"/>
      <c r="L24" s="100"/>
      <c r="M24" s="171"/>
      <c r="N24" s="100"/>
      <c r="O24" s="100"/>
      <c r="P24" s="100"/>
      <c r="Q24" s="100"/>
      <c r="R24" s="100"/>
      <c r="S24" s="100"/>
      <c r="T24" s="100"/>
      <c r="U24" s="301"/>
      <c r="V24" s="302"/>
      <c r="W24" s="302"/>
      <c r="X24" s="303"/>
      <c r="Y24" s="98"/>
      <c r="Z24" s="106">
        <f t="shared" si="4"/>
        <v>0</v>
      </c>
      <c r="AA24" s="105">
        <f t="shared" si="1"/>
        <v>0</v>
      </c>
      <c r="AB24" s="105">
        <f t="shared" si="2"/>
        <v>0</v>
      </c>
    </row>
    <row r="25" spans="1:28" x14ac:dyDescent="0.15">
      <c r="A25" s="101"/>
      <c r="B25" s="99">
        <f t="shared" si="3"/>
        <v>18</v>
      </c>
      <c r="C25" s="301"/>
      <c r="D25" s="302"/>
      <c r="E25" s="302"/>
      <c r="F25" s="303"/>
      <c r="G25" s="304"/>
      <c r="H25" s="305"/>
      <c r="I25" s="306"/>
      <c r="J25" s="304"/>
      <c r="K25" s="306"/>
      <c r="L25" s="100"/>
      <c r="M25" s="171"/>
      <c r="N25" s="100"/>
      <c r="O25" s="100"/>
      <c r="P25" s="100"/>
      <c r="Q25" s="100"/>
      <c r="R25" s="100"/>
      <c r="S25" s="100"/>
      <c r="T25" s="100"/>
      <c r="U25" s="301"/>
      <c r="V25" s="302"/>
      <c r="W25" s="302"/>
      <c r="X25" s="303"/>
      <c r="Y25" s="98"/>
      <c r="Z25" s="106">
        <f t="shared" si="4"/>
        <v>0</v>
      </c>
      <c r="AA25" s="105">
        <f t="shared" si="1"/>
        <v>0</v>
      </c>
      <c r="AB25" s="105">
        <f t="shared" si="2"/>
        <v>0</v>
      </c>
    </row>
    <row r="26" spans="1:28" x14ac:dyDescent="0.15">
      <c r="A26" s="101"/>
      <c r="B26" s="99">
        <f t="shared" si="3"/>
        <v>19</v>
      </c>
      <c r="C26" s="301"/>
      <c r="D26" s="302"/>
      <c r="E26" s="302"/>
      <c r="F26" s="303"/>
      <c r="G26" s="304"/>
      <c r="H26" s="305"/>
      <c r="I26" s="306"/>
      <c r="J26" s="304"/>
      <c r="K26" s="306"/>
      <c r="L26" s="100"/>
      <c r="M26" s="171"/>
      <c r="N26" s="100"/>
      <c r="O26" s="100"/>
      <c r="P26" s="100"/>
      <c r="Q26" s="100"/>
      <c r="R26" s="100"/>
      <c r="S26" s="100"/>
      <c r="T26" s="100"/>
      <c r="U26" s="301"/>
      <c r="V26" s="302"/>
      <c r="W26" s="302"/>
      <c r="X26" s="303"/>
      <c r="Y26" s="98"/>
      <c r="Z26" s="106">
        <f t="shared" si="4"/>
        <v>0</v>
      </c>
      <c r="AA26" s="105">
        <f t="shared" si="1"/>
        <v>0</v>
      </c>
      <c r="AB26" s="105">
        <f t="shared" si="2"/>
        <v>0</v>
      </c>
    </row>
    <row r="27" spans="1:28" x14ac:dyDescent="0.15">
      <c r="A27" s="101"/>
      <c r="B27" s="99">
        <f t="shared" si="3"/>
        <v>20</v>
      </c>
      <c r="C27" s="301"/>
      <c r="D27" s="302"/>
      <c r="E27" s="302"/>
      <c r="F27" s="303"/>
      <c r="G27" s="304"/>
      <c r="H27" s="305"/>
      <c r="I27" s="306"/>
      <c r="J27" s="304"/>
      <c r="K27" s="306"/>
      <c r="L27" s="100"/>
      <c r="M27" s="171"/>
      <c r="N27" s="100"/>
      <c r="O27" s="100"/>
      <c r="P27" s="100"/>
      <c r="Q27" s="100"/>
      <c r="R27" s="100"/>
      <c r="S27" s="100"/>
      <c r="T27" s="100"/>
      <c r="U27" s="301"/>
      <c r="V27" s="302"/>
      <c r="W27" s="302"/>
      <c r="X27" s="303"/>
      <c r="Y27" s="98"/>
      <c r="Z27" s="106">
        <f t="shared" si="4"/>
        <v>0</v>
      </c>
      <c r="AA27" s="105">
        <f t="shared" si="1"/>
        <v>0</v>
      </c>
      <c r="AB27" s="105">
        <f t="shared" si="2"/>
        <v>0</v>
      </c>
    </row>
    <row r="28" spans="1:28" x14ac:dyDescent="0.15">
      <c r="A28" s="101"/>
      <c r="B28" s="99">
        <f t="shared" si="3"/>
        <v>21</v>
      </c>
      <c r="C28" s="301"/>
      <c r="D28" s="302"/>
      <c r="E28" s="302"/>
      <c r="F28" s="303"/>
      <c r="G28" s="304"/>
      <c r="H28" s="305"/>
      <c r="I28" s="306"/>
      <c r="J28" s="304"/>
      <c r="K28" s="306"/>
      <c r="L28" s="100"/>
      <c r="M28" s="100"/>
      <c r="N28" s="100"/>
      <c r="O28" s="100"/>
      <c r="P28" s="100"/>
      <c r="Q28" s="100"/>
      <c r="R28" s="100"/>
      <c r="S28" s="100"/>
      <c r="T28" s="100"/>
      <c r="U28" s="301"/>
      <c r="V28" s="302"/>
      <c r="W28" s="302"/>
      <c r="X28" s="303"/>
      <c r="Y28" s="98"/>
      <c r="Z28" s="106">
        <f t="shared" si="4"/>
        <v>0</v>
      </c>
      <c r="AA28" s="105">
        <f t="shared" si="1"/>
        <v>0</v>
      </c>
      <c r="AB28" s="105">
        <f t="shared" si="2"/>
        <v>0</v>
      </c>
    </row>
    <row r="29" spans="1:28" x14ac:dyDescent="0.15">
      <c r="A29" s="101"/>
      <c r="B29" s="99">
        <f t="shared" si="3"/>
        <v>22</v>
      </c>
      <c r="C29" s="301"/>
      <c r="D29" s="302"/>
      <c r="E29" s="302"/>
      <c r="F29" s="303"/>
      <c r="G29" s="304"/>
      <c r="H29" s="305"/>
      <c r="I29" s="306"/>
      <c r="J29" s="304"/>
      <c r="K29" s="306"/>
      <c r="L29" s="100"/>
      <c r="M29" s="171"/>
      <c r="N29" s="100"/>
      <c r="O29" s="100"/>
      <c r="P29" s="100"/>
      <c r="Q29" s="100"/>
      <c r="R29" s="100"/>
      <c r="S29" s="100"/>
      <c r="T29" s="100"/>
      <c r="U29" s="301"/>
      <c r="V29" s="302"/>
      <c r="W29" s="302"/>
      <c r="X29" s="303"/>
      <c r="Y29" s="98"/>
      <c r="Z29" s="106">
        <f t="shared" si="4"/>
        <v>0</v>
      </c>
      <c r="AA29" s="105">
        <f t="shared" si="1"/>
        <v>0</v>
      </c>
      <c r="AB29" s="105">
        <f t="shared" si="2"/>
        <v>0</v>
      </c>
    </row>
    <row r="30" spans="1:28" x14ac:dyDescent="0.15">
      <c r="A30" s="101"/>
      <c r="B30" s="99">
        <f t="shared" si="3"/>
        <v>23</v>
      </c>
      <c r="C30" s="301"/>
      <c r="D30" s="302"/>
      <c r="E30" s="302"/>
      <c r="F30" s="303"/>
      <c r="G30" s="304"/>
      <c r="H30" s="305"/>
      <c r="I30" s="306"/>
      <c r="J30" s="304"/>
      <c r="K30" s="306"/>
      <c r="L30" s="100"/>
      <c r="M30" s="100"/>
      <c r="N30" s="100"/>
      <c r="O30" s="100"/>
      <c r="P30" s="100"/>
      <c r="Q30" s="100"/>
      <c r="R30" s="100"/>
      <c r="S30" s="100"/>
      <c r="T30" s="100"/>
      <c r="U30" s="301"/>
      <c r="V30" s="302"/>
      <c r="W30" s="302"/>
      <c r="X30" s="303"/>
      <c r="Y30" s="98"/>
      <c r="Z30" s="106">
        <f t="shared" si="4"/>
        <v>0</v>
      </c>
      <c r="AA30" s="105">
        <f t="shared" si="1"/>
        <v>0</v>
      </c>
      <c r="AB30" s="105">
        <f t="shared" si="2"/>
        <v>0</v>
      </c>
    </row>
    <row r="31" spans="1:28" x14ac:dyDescent="0.15">
      <c r="A31" s="101"/>
      <c r="B31" s="99">
        <f t="shared" si="3"/>
        <v>24</v>
      </c>
      <c r="C31" s="301"/>
      <c r="D31" s="302"/>
      <c r="E31" s="302"/>
      <c r="F31" s="303"/>
      <c r="G31" s="304"/>
      <c r="H31" s="305"/>
      <c r="I31" s="306"/>
      <c r="J31" s="304"/>
      <c r="K31" s="306"/>
      <c r="L31" s="100"/>
      <c r="M31" s="100"/>
      <c r="N31" s="100"/>
      <c r="O31" s="100"/>
      <c r="P31" s="100"/>
      <c r="Q31" s="100"/>
      <c r="R31" s="100"/>
      <c r="S31" s="100"/>
      <c r="T31" s="100"/>
      <c r="U31" s="301"/>
      <c r="V31" s="302"/>
      <c r="W31" s="302"/>
      <c r="X31" s="303"/>
      <c r="Y31" s="98"/>
      <c r="Z31" s="106">
        <f t="shared" si="4"/>
        <v>0</v>
      </c>
      <c r="AA31" s="105">
        <f t="shared" si="1"/>
        <v>0</v>
      </c>
      <c r="AB31" s="105">
        <f t="shared" si="2"/>
        <v>0</v>
      </c>
    </row>
    <row r="32" spans="1:28" x14ac:dyDescent="0.15">
      <c r="A32" s="101"/>
      <c r="B32" s="99">
        <f t="shared" si="3"/>
        <v>25</v>
      </c>
      <c r="C32" s="301"/>
      <c r="D32" s="302"/>
      <c r="E32" s="302"/>
      <c r="F32" s="303"/>
      <c r="G32" s="304"/>
      <c r="H32" s="305"/>
      <c r="I32" s="306"/>
      <c r="J32" s="304"/>
      <c r="K32" s="306"/>
      <c r="L32" s="100"/>
      <c r="M32" s="100"/>
      <c r="N32" s="100"/>
      <c r="O32" s="100"/>
      <c r="P32" s="100"/>
      <c r="Q32" s="100"/>
      <c r="R32" s="100"/>
      <c r="S32" s="100"/>
      <c r="T32" s="100"/>
      <c r="U32" s="301"/>
      <c r="V32" s="302"/>
      <c r="W32" s="302"/>
      <c r="X32" s="303"/>
      <c r="Y32" s="98"/>
      <c r="Z32" s="106">
        <f t="shared" si="4"/>
        <v>0</v>
      </c>
      <c r="AA32" s="105">
        <f t="shared" si="1"/>
        <v>0</v>
      </c>
      <c r="AB32" s="105">
        <f t="shared" si="2"/>
        <v>0</v>
      </c>
    </row>
    <row r="33" spans="1:28" x14ac:dyDescent="0.15">
      <c r="A33" s="101"/>
      <c r="B33" s="99">
        <f t="shared" si="3"/>
        <v>26</v>
      </c>
      <c r="C33" s="301"/>
      <c r="D33" s="302"/>
      <c r="E33" s="302"/>
      <c r="F33" s="303"/>
      <c r="G33" s="304"/>
      <c r="H33" s="305"/>
      <c r="I33" s="306"/>
      <c r="J33" s="304"/>
      <c r="K33" s="306"/>
      <c r="L33" s="100"/>
      <c r="M33" s="100"/>
      <c r="N33" s="100"/>
      <c r="O33" s="100"/>
      <c r="P33" s="100"/>
      <c r="Q33" s="100"/>
      <c r="R33" s="100"/>
      <c r="S33" s="100"/>
      <c r="T33" s="100"/>
      <c r="U33" s="301"/>
      <c r="V33" s="302"/>
      <c r="W33" s="302"/>
      <c r="X33" s="303"/>
      <c r="Y33" s="98"/>
      <c r="Z33" s="106">
        <f t="shared" si="4"/>
        <v>0</v>
      </c>
      <c r="AA33" s="105">
        <f t="shared" si="1"/>
        <v>0</v>
      </c>
      <c r="AB33" s="105">
        <f t="shared" si="2"/>
        <v>0</v>
      </c>
    </row>
    <row r="34" spans="1:28" x14ac:dyDescent="0.15">
      <c r="A34" s="101"/>
      <c r="B34" s="99">
        <f t="shared" si="3"/>
        <v>27</v>
      </c>
      <c r="C34" s="301"/>
      <c r="D34" s="302"/>
      <c r="E34" s="302"/>
      <c r="F34" s="303"/>
      <c r="G34" s="304"/>
      <c r="H34" s="305"/>
      <c r="I34" s="306"/>
      <c r="J34" s="304"/>
      <c r="K34" s="306"/>
      <c r="L34" s="100"/>
      <c r="M34" s="100"/>
      <c r="N34" s="100"/>
      <c r="O34" s="100"/>
      <c r="P34" s="100"/>
      <c r="Q34" s="100"/>
      <c r="R34" s="100"/>
      <c r="S34" s="100"/>
      <c r="T34" s="100"/>
      <c r="U34" s="301"/>
      <c r="V34" s="302"/>
      <c r="W34" s="302"/>
      <c r="X34" s="303"/>
      <c r="Y34" s="98"/>
      <c r="Z34" s="106">
        <f t="shared" si="4"/>
        <v>0</v>
      </c>
      <c r="AA34" s="105">
        <f t="shared" si="1"/>
        <v>0</v>
      </c>
      <c r="AB34" s="105">
        <f t="shared" si="2"/>
        <v>0</v>
      </c>
    </row>
    <row r="35" spans="1:28" x14ac:dyDescent="0.15">
      <c r="A35" s="101"/>
      <c r="B35" s="99">
        <f t="shared" si="3"/>
        <v>28</v>
      </c>
      <c r="C35" s="301"/>
      <c r="D35" s="302"/>
      <c r="E35" s="302"/>
      <c r="F35" s="303"/>
      <c r="G35" s="304"/>
      <c r="H35" s="305"/>
      <c r="I35" s="306"/>
      <c r="J35" s="304"/>
      <c r="K35" s="306"/>
      <c r="L35" s="100"/>
      <c r="M35" s="100"/>
      <c r="N35" s="100"/>
      <c r="O35" s="100"/>
      <c r="P35" s="100"/>
      <c r="Q35" s="100"/>
      <c r="R35" s="100"/>
      <c r="S35" s="100"/>
      <c r="T35" s="100"/>
      <c r="U35" s="301"/>
      <c r="V35" s="302"/>
      <c r="W35" s="302"/>
      <c r="X35" s="303"/>
      <c r="Y35" s="98"/>
      <c r="Z35" s="106">
        <f t="shared" si="4"/>
        <v>0</v>
      </c>
      <c r="AA35" s="105">
        <f t="shared" si="1"/>
        <v>0</v>
      </c>
      <c r="AB35" s="105">
        <f t="shared" si="2"/>
        <v>0</v>
      </c>
    </row>
    <row r="36" spans="1:28" x14ac:dyDescent="0.15">
      <c r="A36" s="101"/>
      <c r="B36" s="99">
        <f t="shared" si="3"/>
        <v>29</v>
      </c>
      <c r="C36" s="301"/>
      <c r="D36" s="302"/>
      <c r="E36" s="302"/>
      <c r="F36" s="303"/>
      <c r="G36" s="304"/>
      <c r="H36" s="305"/>
      <c r="I36" s="306"/>
      <c r="J36" s="304"/>
      <c r="K36" s="306"/>
      <c r="L36" s="100"/>
      <c r="M36" s="100"/>
      <c r="N36" s="100"/>
      <c r="O36" s="100"/>
      <c r="P36" s="100"/>
      <c r="Q36" s="100"/>
      <c r="R36" s="100"/>
      <c r="S36" s="100"/>
      <c r="T36" s="100"/>
      <c r="U36" s="301"/>
      <c r="V36" s="302"/>
      <c r="W36" s="302"/>
      <c r="X36" s="303"/>
      <c r="Y36" s="98"/>
      <c r="Z36" s="106">
        <f t="shared" si="4"/>
        <v>0</v>
      </c>
      <c r="AA36" s="105">
        <f t="shared" si="1"/>
        <v>0</v>
      </c>
      <c r="AB36" s="105">
        <f t="shared" si="2"/>
        <v>0</v>
      </c>
    </row>
    <row r="37" spans="1:28" x14ac:dyDescent="0.15">
      <c r="A37" s="101"/>
      <c r="B37" s="99">
        <f t="shared" si="3"/>
        <v>30</v>
      </c>
      <c r="C37" s="301"/>
      <c r="D37" s="302"/>
      <c r="E37" s="302"/>
      <c r="F37" s="303"/>
      <c r="G37" s="304"/>
      <c r="H37" s="305"/>
      <c r="I37" s="306"/>
      <c r="J37" s="304"/>
      <c r="K37" s="306"/>
      <c r="L37" s="100"/>
      <c r="M37" s="100"/>
      <c r="N37" s="100"/>
      <c r="O37" s="100"/>
      <c r="P37" s="100"/>
      <c r="Q37" s="100"/>
      <c r="R37" s="100"/>
      <c r="S37" s="100"/>
      <c r="T37" s="100"/>
      <c r="U37" s="301"/>
      <c r="V37" s="302"/>
      <c r="W37" s="302"/>
      <c r="X37" s="303"/>
      <c r="Y37" s="98"/>
      <c r="Z37" s="106">
        <f t="shared" si="4"/>
        <v>0</v>
      </c>
      <c r="AA37" s="105">
        <f t="shared" si="1"/>
        <v>0</v>
      </c>
      <c r="AB37" s="105">
        <f t="shared" si="2"/>
        <v>0</v>
      </c>
    </row>
    <row r="38" spans="1:28" x14ac:dyDescent="0.15">
      <c r="A38" s="101"/>
      <c r="B38" s="298" t="s">
        <v>122</v>
      </c>
      <c r="C38" s="299"/>
      <c r="D38" s="299"/>
      <c r="E38" s="299"/>
      <c r="F38" s="299"/>
      <c r="G38" s="299"/>
      <c r="H38" s="299"/>
      <c r="I38" s="299"/>
      <c r="J38" s="299"/>
      <c r="K38" s="299"/>
      <c r="L38" s="299"/>
      <c r="M38" s="299"/>
      <c r="N38" s="299"/>
      <c r="O38" s="299"/>
      <c r="P38" s="299"/>
      <c r="Q38" s="299"/>
      <c r="R38" s="299"/>
      <c r="S38" s="299"/>
      <c r="T38" s="299"/>
      <c r="U38" s="299"/>
      <c r="V38" s="299"/>
      <c r="W38" s="299"/>
      <c r="X38" s="300"/>
      <c r="Y38" s="98"/>
      <c r="Z38" s="92"/>
    </row>
    <row r="39" spans="1:28" x14ac:dyDescent="0.15">
      <c r="A39" s="101"/>
      <c r="B39" s="101" t="s">
        <v>298</v>
      </c>
      <c r="C39" s="92"/>
      <c r="D39" s="92"/>
      <c r="E39" s="92"/>
      <c r="F39" s="92"/>
      <c r="G39" s="92"/>
      <c r="H39" s="92"/>
      <c r="I39" s="92"/>
      <c r="J39" s="92"/>
      <c r="K39" s="92"/>
      <c r="L39" s="92"/>
      <c r="M39" s="92"/>
      <c r="N39" s="92"/>
      <c r="O39" s="92"/>
      <c r="P39" s="92"/>
      <c r="Q39" s="92"/>
      <c r="R39" s="92"/>
      <c r="S39" s="92"/>
      <c r="T39" s="92"/>
      <c r="U39" s="92"/>
      <c r="V39" s="92"/>
      <c r="W39" s="92"/>
      <c r="X39" s="98"/>
      <c r="Y39" s="98"/>
      <c r="Z39" s="92"/>
    </row>
    <row r="40" spans="1:28" x14ac:dyDescent="0.15">
      <c r="A40" s="101"/>
      <c r="B40" s="101" t="s">
        <v>309</v>
      </c>
      <c r="C40" s="92"/>
      <c r="D40" s="92"/>
      <c r="E40" s="92"/>
      <c r="F40" s="92"/>
      <c r="G40" s="92"/>
      <c r="H40" s="92"/>
      <c r="I40" s="92"/>
      <c r="J40" s="92"/>
      <c r="K40" s="92"/>
      <c r="L40" s="92"/>
      <c r="M40" s="92"/>
      <c r="N40" s="92"/>
      <c r="O40" s="92"/>
      <c r="P40" s="92"/>
      <c r="Q40" s="92"/>
      <c r="R40" s="92"/>
      <c r="S40" s="92"/>
      <c r="T40" s="92"/>
      <c r="U40" s="92"/>
      <c r="V40" s="92"/>
      <c r="W40" s="92"/>
      <c r="X40" s="98"/>
      <c r="Y40" s="98"/>
      <c r="Z40" s="92"/>
    </row>
    <row r="41" spans="1:28" x14ac:dyDescent="0.15">
      <c r="A41" s="101"/>
      <c r="B41" s="101"/>
      <c r="C41" s="92"/>
      <c r="D41" s="92"/>
      <c r="E41" s="92"/>
      <c r="F41" s="92"/>
      <c r="G41" s="92"/>
      <c r="H41" s="92"/>
      <c r="I41" s="92"/>
      <c r="J41" s="92"/>
      <c r="K41" s="92"/>
      <c r="L41" s="92"/>
      <c r="M41" s="92"/>
      <c r="N41" s="92"/>
      <c r="O41" s="92"/>
      <c r="P41" s="92"/>
      <c r="Q41" s="92"/>
      <c r="R41" s="92"/>
      <c r="S41" s="92"/>
      <c r="T41" s="92"/>
      <c r="U41" s="92"/>
      <c r="V41" s="92"/>
      <c r="W41" s="92"/>
      <c r="X41" s="98"/>
      <c r="Y41" s="98"/>
      <c r="Z41" s="92"/>
    </row>
    <row r="42" spans="1:28" x14ac:dyDescent="0.15">
      <c r="A42" s="101"/>
      <c r="B42" s="102" t="s">
        <v>300</v>
      </c>
      <c r="C42" s="93"/>
      <c r="D42" s="93"/>
      <c r="E42" s="93"/>
      <c r="F42" s="93"/>
      <c r="G42" s="93"/>
      <c r="H42" s="93"/>
      <c r="I42" s="93"/>
      <c r="J42" s="93"/>
      <c r="K42" s="93"/>
      <c r="L42" s="93"/>
      <c r="M42" s="93"/>
      <c r="N42" s="93"/>
      <c r="O42" s="93"/>
      <c r="P42" s="93"/>
      <c r="Q42" s="93"/>
      <c r="R42" s="93"/>
      <c r="S42" s="93"/>
      <c r="T42" s="93"/>
      <c r="U42" s="93"/>
      <c r="V42" s="93"/>
      <c r="W42" s="93"/>
      <c r="X42" s="103"/>
      <c r="Y42" s="98"/>
      <c r="Z42" s="92"/>
    </row>
    <row r="43" spans="1:28" x14ac:dyDescent="0.15">
      <c r="A43" s="102"/>
      <c r="B43" s="93"/>
      <c r="C43" s="93"/>
      <c r="D43" s="93"/>
      <c r="E43" s="93"/>
      <c r="F43" s="93"/>
      <c r="G43" s="93"/>
      <c r="H43" s="93"/>
      <c r="I43" s="93"/>
      <c r="J43" s="93"/>
      <c r="K43" s="93"/>
      <c r="L43" s="93"/>
      <c r="M43" s="93"/>
      <c r="N43" s="93"/>
      <c r="O43" s="93"/>
      <c r="P43" s="93"/>
      <c r="Q43" s="93"/>
      <c r="R43" s="93"/>
      <c r="S43" s="93"/>
      <c r="T43" s="93"/>
      <c r="U43" s="93"/>
      <c r="V43" s="93"/>
      <c r="W43" s="93"/>
      <c r="X43" s="93"/>
      <c r="Y43" s="103"/>
      <c r="Z43" s="92"/>
    </row>
  </sheetData>
  <mergeCells count="138">
    <mergeCell ref="W2:Y3"/>
    <mergeCell ref="A3:B3"/>
    <mergeCell ref="G3:I3"/>
    <mergeCell ref="C7:F7"/>
    <mergeCell ref="G7:I7"/>
    <mergeCell ref="J7:K7"/>
    <mergeCell ref="U7:X7"/>
    <mergeCell ref="A1:F2"/>
    <mergeCell ref="G1:I1"/>
    <mergeCell ref="P1:Q1"/>
    <mergeCell ref="R1:T1"/>
    <mergeCell ref="U1:V1"/>
    <mergeCell ref="W1:Y1"/>
    <mergeCell ref="G2:I2"/>
    <mergeCell ref="P2:Q3"/>
    <mergeCell ref="R2:T3"/>
    <mergeCell ref="U2:V3"/>
    <mergeCell ref="C10:F10"/>
    <mergeCell ref="G10:I10"/>
    <mergeCell ref="J10:K10"/>
    <mergeCell ref="U10:X10"/>
    <mergeCell ref="C11:F11"/>
    <mergeCell ref="G11:I11"/>
    <mergeCell ref="J11:K11"/>
    <mergeCell ref="U11:X11"/>
    <mergeCell ref="C8:F8"/>
    <mergeCell ref="G8:I8"/>
    <mergeCell ref="J8:K8"/>
    <mergeCell ref="U8:X8"/>
    <mergeCell ref="C9:F9"/>
    <mergeCell ref="G9:I9"/>
    <mergeCell ref="J9:K9"/>
    <mergeCell ref="U9:X9"/>
    <mergeCell ref="C14:F14"/>
    <mergeCell ref="G14:I14"/>
    <mergeCell ref="J14:K14"/>
    <mergeCell ref="U14:X14"/>
    <mergeCell ref="C15:F15"/>
    <mergeCell ref="G15:I15"/>
    <mergeCell ref="J15:K15"/>
    <mergeCell ref="U15:X15"/>
    <mergeCell ref="C12:F12"/>
    <mergeCell ref="G12:I12"/>
    <mergeCell ref="J12:K12"/>
    <mergeCell ref="U12:X12"/>
    <mergeCell ref="C13:F13"/>
    <mergeCell ref="G13:I13"/>
    <mergeCell ref="J13:K13"/>
    <mergeCell ref="U13:X13"/>
    <mergeCell ref="C18:F18"/>
    <mergeCell ref="G18:I18"/>
    <mergeCell ref="J18:K18"/>
    <mergeCell ref="U18:X18"/>
    <mergeCell ref="C19:F19"/>
    <mergeCell ref="G19:I19"/>
    <mergeCell ref="J19:K19"/>
    <mergeCell ref="U19:X19"/>
    <mergeCell ref="C16:F16"/>
    <mergeCell ref="G16:I16"/>
    <mergeCell ref="J16:K16"/>
    <mergeCell ref="U16:X16"/>
    <mergeCell ref="C17:F17"/>
    <mergeCell ref="G17:I17"/>
    <mergeCell ref="J17:K17"/>
    <mergeCell ref="U17:X17"/>
    <mergeCell ref="C22:F22"/>
    <mergeCell ref="G22:I22"/>
    <mergeCell ref="J22:K22"/>
    <mergeCell ref="U22:X22"/>
    <mergeCell ref="C23:F23"/>
    <mergeCell ref="G23:I23"/>
    <mergeCell ref="J23:K23"/>
    <mergeCell ref="U23:X23"/>
    <mergeCell ref="C20:F20"/>
    <mergeCell ref="G20:I20"/>
    <mergeCell ref="J20:K20"/>
    <mergeCell ref="U20:X20"/>
    <mergeCell ref="C21:F21"/>
    <mergeCell ref="G21:I21"/>
    <mergeCell ref="J21:K21"/>
    <mergeCell ref="U21:X21"/>
    <mergeCell ref="C26:F26"/>
    <mergeCell ref="G26:I26"/>
    <mergeCell ref="J26:K26"/>
    <mergeCell ref="U26:X26"/>
    <mergeCell ref="C27:F27"/>
    <mergeCell ref="G27:I27"/>
    <mergeCell ref="J27:K27"/>
    <mergeCell ref="U27:X27"/>
    <mergeCell ref="C24:F24"/>
    <mergeCell ref="G24:I24"/>
    <mergeCell ref="J24:K24"/>
    <mergeCell ref="U24:X24"/>
    <mergeCell ref="C25:F25"/>
    <mergeCell ref="G25:I25"/>
    <mergeCell ref="J25:K25"/>
    <mergeCell ref="U25:X25"/>
    <mergeCell ref="C30:F30"/>
    <mergeCell ref="G30:I30"/>
    <mergeCell ref="J30:K30"/>
    <mergeCell ref="U30:X30"/>
    <mergeCell ref="C31:F31"/>
    <mergeCell ref="G31:I31"/>
    <mergeCell ref="J31:K31"/>
    <mergeCell ref="U31:X31"/>
    <mergeCell ref="C28:F28"/>
    <mergeCell ref="G28:I28"/>
    <mergeCell ref="J28:K28"/>
    <mergeCell ref="U28:X28"/>
    <mergeCell ref="C29:F29"/>
    <mergeCell ref="G29:I29"/>
    <mergeCell ref="J29:K29"/>
    <mergeCell ref="U29:X29"/>
    <mergeCell ref="C34:F34"/>
    <mergeCell ref="G34:I34"/>
    <mergeCell ref="J34:K34"/>
    <mergeCell ref="U34:X34"/>
    <mergeCell ref="C35:F35"/>
    <mergeCell ref="G35:I35"/>
    <mergeCell ref="J35:K35"/>
    <mergeCell ref="U35:X35"/>
    <mergeCell ref="C32:F32"/>
    <mergeCell ref="G32:I32"/>
    <mergeCell ref="J32:K32"/>
    <mergeCell ref="U32:X32"/>
    <mergeCell ref="C33:F33"/>
    <mergeCell ref="G33:I33"/>
    <mergeCell ref="J33:K33"/>
    <mergeCell ref="U33:X33"/>
    <mergeCell ref="B38:X38"/>
    <mergeCell ref="C36:F36"/>
    <mergeCell ref="G36:I36"/>
    <mergeCell ref="J36:K36"/>
    <mergeCell ref="U36:X36"/>
    <mergeCell ref="C37:F37"/>
    <mergeCell ref="G37:I37"/>
    <mergeCell ref="J37:K37"/>
    <mergeCell ref="U37:X37"/>
  </mergeCells>
  <phoneticPr fontId="1"/>
  <conditionalFormatting sqref="J31:K37">
    <cfRule type="expression" dxfId="80" priority="130">
      <formula>ISERROR(AB31)</formula>
    </cfRule>
    <cfRule type="expression" dxfId="79" priority="131">
      <formula>ISBLANK(AB31)</formula>
    </cfRule>
    <cfRule type="expression" dxfId="78" priority="132">
      <formula>AND(J31&lt;&gt;"",AB31&lt;=0)</formula>
    </cfRule>
  </conditionalFormatting>
  <conditionalFormatting sqref="J8:K8">
    <cfRule type="expression" dxfId="77" priority="127">
      <formula>ISERROR(AB8)</formula>
    </cfRule>
    <cfRule type="expression" dxfId="76" priority="128">
      <formula>ISBLANK(AB8)</formula>
    </cfRule>
    <cfRule type="expression" dxfId="75" priority="129">
      <formula>AND(J8&lt;&gt;"",AB8&lt;=0)</formula>
    </cfRule>
  </conditionalFormatting>
  <conditionalFormatting sqref="J14:K14">
    <cfRule type="expression" dxfId="74" priority="61">
      <formula>ISERROR(AB14)</formula>
    </cfRule>
    <cfRule type="expression" dxfId="73" priority="62">
      <formula>ISBLANK(AB14)</formula>
    </cfRule>
    <cfRule type="expression" dxfId="72" priority="63">
      <formula>AND(J14&lt;&gt;"",AB14&lt;=0)</formula>
    </cfRule>
  </conditionalFormatting>
  <conditionalFormatting sqref="J21:K21">
    <cfRule type="expression" dxfId="71" priority="91">
      <formula>ISERROR(AB21)</formula>
    </cfRule>
    <cfRule type="expression" dxfId="70" priority="92">
      <formula>ISBLANK(AB21)</formula>
    </cfRule>
    <cfRule type="expression" dxfId="69" priority="93">
      <formula>AND(J21&lt;&gt;"",AB21&lt;=0)</formula>
    </cfRule>
  </conditionalFormatting>
  <conditionalFormatting sqref="J28:K28">
    <cfRule type="expression" dxfId="68" priority="49">
      <formula>ISERROR(AB28)</formula>
    </cfRule>
    <cfRule type="expression" dxfId="67" priority="50">
      <formula>ISBLANK(AB28)</formula>
    </cfRule>
    <cfRule type="expression" dxfId="66" priority="51">
      <formula>AND(J28&lt;&gt;"",AB28&lt;=0)</formula>
    </cfRule>
  </conditionalFormatting>
  <conditionalFormatting sqref="J22:K22">
    <cfRule type="expression" dxfId="65" priority="46">
      <formula>ISERROR(AB22)</formula>
    </cfRule>
    <cfRule type="expression" dxfId="64" priority="47">
      <formula>ISBLANK(AB22)</formula>
    </cfRule>
    <cfRule type="expression" dxfId="63" priority="48">
      <formula>AND(J22&lt;&gt;"",AB22&lt;=0)</formula>
    </cfRule>
  </conditionalFormatting>
  <conditionalFormatting sqref="J9:K9">
    <cfRule type="expression" dxfId="62" priority="79">
      <formula>ISERROR(AB9)</formula>
    </cfRule>
    <cfRule type="expression" dxfId="61" priority="80">
      <formula>ISBLANK(AB9)</formula>
    </cfRule>
    <cfRule type="expression" dxfId="60" priority="81">
      <formula>AND(J9&lt;&gt;"",AB9&lt;=0)</formula>
    </cfRule>
  </conditionalFormatting>
  <conditionalFormatting sqref="J15:K15">
    <cfRule type="expression" dxfId="59" priority="58">
      <formula>ISERROR(AB15)</formula>
    </cfRule>
    <cfRule type="expression" dxfId="58" priority="59">
      <formula>ISBLANK(AB15)</formula>
    </cfRule>
    <cfRule type="expression" dxfId="57" priority="60">
      <formula>AND(J15&lt;&gt;"",AB15&lt;=0)</formula>
    </cfRule>
  </conditionalFormatting>
  <conditionalFormatting sqref="J19:K19">
    <cfRule type="expression" dxfId="56" priority="97">
      <formula>ISERROR(AB19)</formula>
    </cfRule>
    <cfRule type="expression" dxfId="55" priority="98">
      <formula>ISBLANK(AB19)</formula>
    </cfRule>
    <cfRule type="expression" dxfId="54" priority="99">
      <formula>AND(J19&lt;&gt;"",AB19&lt;=0)</formula>
    </cfRule>
  </conditionalFormatting>
  <conditionalFormatting sqref="J20:K20">
    <cfRule type="expression" dxfId="53" priority="94">
      <formula>ISERROR(AB20)</formula>
    </cfRule>
    <cfRule type="expression" dxfId="52" priority="95">
      <formula>ISBLANK(AB20)</formula>
    </cfRule>
    <cfRule type="expression" dxfId="51" priority="96">
      <formula>AND(J20&lt;&gt;"",AB20&lt;=0)</formula>
    </cfRule>
  </conditionalFormatting>
  <conditionalFormatting sqref="J23:K23">
    <cfRule type="expression" dxfId="50" priority="43">
      <formula>ISERROR(AB23)</formula>
    </cfRule>
    <cfRule type="expression" dxfId="49" priority="44">
      <formula>ISBLANK(AB23)</formula>
    </cfRule>
    <cfRule type="expression" dxfId="48" priority="45">
      <formula>AND(J23&lt;&gt;"",AB23&lt;=0)</formula>
    </cfRule>
  </conditionalFormatting>
  <conditionalFormatting sqref="J30:K30">
    <cfRule type="expression" dxfId="47" priority="55">
      <formula>ISERROR(AB30)</formula>
    </cfRule>
    <cfRule type="expression" dxfId="46" priority="56">
      <formula>ISBLANK(AB30)</formula>
    </cfRule>
    <cfRule type="expression" dxfId="45" priority="57">
      <formula>AND(J30&lt;&gt;"",AB30&lt;=0)</formula>
    </cfRule>
  </conditionalFormatting>
  <conditionalFormatting sqref="J26:K26">
    <cfRule type="expression" dxfId="44" priority="34">
      <formula>ISERROR(AB26)</formula>
    </cfRule>
    <cfRule type="expression" dxfId="43" priority="35">
      <formula>ISBLANK(AB26)</formula>
    </cfRule>
    <cfRule type="expression" dxfId="42" priority="36">
      <formula>AND(J26&lt;&gt;"",AB26&lt;=0)</formula>
    </cfRule>
  </conditionalFormatting>
  <conditionalFormatting sqref="J29:K29">
    <cfRule type="expression" dxfId="41" priority="52">
      <formula>ISERROR(AB29)</formula>
    </cfRule>
    <cfRule type="expression" dxfId="40" priority="53">
      <formula>ISBLANK(AB29)</formula>
    </cfRule>
    <cfRule type="expression" dxfId="39" priority="54">
      <formula>AND(J29&lt;&gt;"",AB29&lt;=0)</formula>
    </cfRule>
  </conditionalFormatting>
  <conditionalFormatting sqref="J27:K27">
    <cfRule type="expression" dxfId="38" priority="31">
      <formula>ISERROR(AB27)</formula>
    </cfRule>
    <cfRule type="expression" dxfId="37" priority="32">
      <formula>ISBLANK(AB27)</formula>
    </cfRule>
    <cfRule type="expression" dxfId="36" priority="33">
      <formula>AND(J27&lt;&gt;"",AB27&lt;=0)</formula>
    </cfRule>
  </conditionalFormatting>
  <conditionalFormatting sqref="J24:K24">
    <cfRule type="expression" dxfId="35" priority="40">
      <formula>ISERROR(AB24)</formula>
    </cfRule>
    <cfRule type="expression" dxfId="34" priority="41">
      <formula>ISBLANK(AB24)</formula>
    </cfRule>
    <cfRule type="expression" dxfId="33" priority="42">
      <formula>AND(J24&lt;&gt;"",AB24&lt;=0)</formula>
    </cfRule>
  </conditionalFormatting>
  <conditionalFormatting sqref="J25:K25">
    <cfRule type="expression" dxfId="32" priority="37">
      <formula>ISERROR(AB25)</formula>
    </cfRule>
    <cfRule type="expression" dxfId="31" priority="38">
      <formula>ISBLANK(AB25)</formula>
    </cfRule>
    <cfRule type="expression" dxfId="30" priority="39">
      <formula>AND(J25&lt;&gt;"",AB25&lt;=0)</formula>
    </cfRule>
  </conditionalFormatting>
  <conditionalFormatting sqref="J10:K10">
    <cfRule type="expression" dxfId="29" priority="25">
      <formula>ISERROR(AB10)</formula>
    </cfRule>
    <cfRule type="expression" dxfId="28" priority="26">
      <formula>ISBLANK(AB10)</formula>
    </cfRule>
    <cfRule type="expression" dxfId="27" priority="27">
      <formula>AND(J10&lt;&gt;"",AB10&lt;=0)</formula>
    </cfRule>
  </conditionalFormatting>
  <conditionalFormatting sqref="J18:K18">
    <cfRule type="expression" dxfId="26" priority="10">
      <formula>ISERROR(AB18)</formula>
    </cfRule>
    <cfRule type="expression" dxfId="25" priority="11">
      <formula>ISBLANK(AB18)</formula>
    </cfRule>
    <cfRule type="expression" dxfId="24" priority="12">
      <formula>AND(J18&lt;&gt;"",AB18&lt;=0)</formula>
    </cfRule>
  </conditionalFormatting>
  <conditionalFormatting sqref="J16:K16">
    <cfRule type="expression" dxfId="23" priority="16">
      <formula>ISERROR(AB16)</formula>
    </cfRule>
    <cfRule type="expression" dxfId="22" priority="17">
      <formula>ISBLANK(AB16)</formula>
    </cfRule>
    <cfRule type="expression" dxfId="21" priority="18">
      <formula>AND(J16&lt;&gt;"",AB16&lt;=0)</formula>
    </cfRule>
  </conditionalFormatting>
  <conditionalFormatting sqref="J17:K17">
    <cfRule type="expression" dxfId="20" priority="13">
      <formula>ISERROR(AB17)</formula>
    </cfRule>
    <cfRule type="expression" dxfId="19" priority="14">
      <formula>ISBLANK(AB17)</formula>
    </cfRule>
    <cfRule type="expression" dxfId="18" priority="15">
      <formula>AND(J17&lt;&gt;"",AB17&lt;=0)</formula>
    </cfRule>
  </conditionalFormatting>
  <conditionalFormatting sqref="J13:K13">
    <cfRule type="expression" dxfId="17" priority="1">
      <formula>ISERROR(AB13)</formula>
    </cfRule>
    <cfRule type="expression" dxfId="16" priority="2">
      <formula>ISBLANK(AB13)</formula>
    </cfRule>
    <cfRule type="expression" dxfId="15" priority="3">
      <formula>AND(J13&lt;&gt;"",AB13&lt;=0)</formula>
    </cfRule>
  </conditionalFormatting>
  <conditionalFormatting sqref="J11:K11">
    <cfRule type="expression" dxfId="14" priority="7">
      <formula>ISERROR(AB11)</formula>
    </cfRule>
    <cfRule type="expression" dxfId="13" priority="8">
      <formula>ISBLANK(AB11)</formula>
    </cfRule>
    <cfRule type="expression" dxfId="12" priority="9">
      <formula>AND(J11&lt;&gt;"",AB11&lt;=0)</formula>
    </cfRule>
  </conditionalFormatting>
  <conditionalFormatting sqref="J12:K12">
    <cfRule type="expression" dxfId="11" priority="4">
      <formula>ISERROR(AB12)</formula>
    </cfRule>
    <cfRule type="expression" dxfId="10" priority="5">
      <formula>ISBLANK(AB12)</formula>
    </cfRule>
    <cfRule type="expression" dxfId="9" priority="6">
      <formula>AND(J12&lt;&gt;"",AB12&lt;=0)</formula>
    </cfRule>
  </conditionalFormatting>
  <printOptions horizontalCentered="1"/>
  <pageMargins left="0.23622047244094491" right="0.23622047244094491" top="0.39370078740157483" bottom="0.39370078740157483" header="0" footer="0"/>
  <pageSetup paperSize="9" fitToHeight="0" orientation="landscape" r:id="rId1"/>
  <headerFooter alignWithMargins="0">
    <oddFooter>&amp;L&amp;F&amp;R&amp;P / &amp;N</oddFooter>
  </headerFooter>
  <legacy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100-000000000000}">
  <sheetPr codeName="Sheet10"/>
  <dimension ref="A1:AY80"/>
  <sheetViews>
    <sheetView topLeftCell="A4" workbookViewId="0">
      <selection activeCell="AC27" sqref="AC27"/>
    </sheetView>
  </sheetViews>
  <sheetFormatPr defaultColWidth="9" defaultRowHeight="11.25" x14ac:dyDescent="0.15"/>
  <cols>
    <col min="1" max="1" width="11.5" style="22" customWidth="1"/>
    <col min="2" max="240" width="2.625" style="22" customWidth="1"/>
    <col min="241" max="16384" width="9" style="22"/>
  </cols>
  <sheetData>
    <row r="1" spans="2:35" ht="27" customHeight="1" thickBot="1" x14ac:dyDescent="0.2"/>
    <row r="2" spans="2:35" ht="20.100000000000001" customHeight="1" thickTop="1" x14ac:dyDescent="0.15">
      <c r="B2" s="23"/>
      <c r="C2" s="24"/>
      <c r="D2" s="24"/>
      <c r="E2" s="24" t="s">
        <v>18</v>
      </c>
      <c r="F2" s="24"/>
      <c r="G2" s="24"/>
      <c r="H2" s="24"/>
      <c r="I2" s="24"/>
      <c r="J2" s="24"/>
      <c r="K2" s="24"/>
      <c r="L2" s="24"/>
      <c r="M2" s="24"/>
      <c r="N2" s="25"/>
      <c r="O2" s="26" t="s">
        <v>19</v>
      </c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6" t="s">
        <v>20</v>
      </c>
      <c r="AB2" s="27"/>
      <c r="AC2" s="27"/>
      <c r="AD2" s="28"/>
      <c r="AE2" s="29" t="s">
        <v>21</v>
      </c>
      <c r="AF2" s="24"/>
      <c r="AG2" s="24"/>
      <c r="AH2" s="24"/>
      <c r="AI2" s="30"/>
    </row>
    <row r="3" spans="2:35" ht="30" customHeight="1" thickBot="1" x14ac:dyDescent="0.2">
      <c r="B3" s="31"/>
      <c r="C3" s="32"/>
      <c r="D3" s="32"/>
      <c r="E3" s="32"/>
      <c r="F3" s="32"/>
      <c r="G3" s="32"/>
      <c r="H3" s="32"/>
      <c r="I3" s="32"/>
      <c r="J3" s="32"/>
      <c r="K3" s="32"/>
      <c r="L3" s="32"/>
      <c r="M3" s="32"/>
      <c r="N3" s="33"/>
      <c r="O3" s="316"/>
      <c r="P3" s="317"/>
      <c r="Q3" s="317"/>
      <c r="R3" s="317"/>
      <c r="S3" s="317"/>
      <c r="T3" s="317"/>
      <c r="U3" s="317"/>
      <c r="V3" s="317"/>
      <c r="W3" s="317"/>
      <c r="X3" s="317"/>
      <c r="Y3" s="317"/>
      <c r="Z3" s="318"/>
      <c r="AA3" s="34"/>
      <c r="AB3" s="35"/>
      <c r="AC3" s="32"/>
      <c r="AD3" s="33"/>
      <c r="AE3" s="34"/>
      <c r="AF3" s="32">
        <v>1</v>
      </c>
      <c r="AG3" s="32" t="s">
        <v>22</v>
      </c>
      <c r="AH3" s="36"/>
      <c r="AI3" s="37"/>
    </row>
    <row r="4" spans="2:35" ht="50.1" customHeight="1" thickTop="1" thickBot="1" x14ac:dyDescent="0.2">
      <c r="B4" s="319" t="s">
        <v>23</v>
      </c>
      <c r="C4" s="320"/>
      <c r="D4" s="320"/>
      <c r="E4" s="321" t="s">
        <v>24</v>
      </c>
      <c r="F4" s="321"/>
      <c r="G4" s="321"/>
      <c r="H4" s="321"/>
      <c r="I4" s="321"/>
      <c r="J4" s="321"/>
      <c r="K4" s="321"/>
      <c r="L4" s="321"/>
      <c r="M4" s="321"/>
      <c r="N4" s="321"/>
      <c r="O4" s="321"/>
      <c r="P4" s="321"/>
      <c r="Q4" s="321"/>
      <c r="R4" s="321"/>
      <c r="S4" s="321"/>
      <c r="T4" s="321"/>
      <c r="U4" s="321"/>
      <c r="V4" s="321"/>
      <c r="W4" s="321"/>
      <c r="X4" s="321"/>
      <c r="Y4" s="321"/>
      <c r="Z4" s="321"/>
      <c r="AA4" s="321"/>
      <c r="AB4" s="321"/>
      <c r="AC4" s="321"/>
      <c r="AD4" s="321"/>
      <c r="AE4" s="321"/>
      <c r="AF4" s="321"/>
      <c r="AG4" s="321"/>
      <c r="AH4" s="321"/>
      <c r="AI4" s="322"/>
    </row>
    <row r="5" spans="2:35" s="39" customFormat="1" ht="13.5" customHeight="1" thickTop="1" x14ac:dyDescent="0.15">
      <c r="B5" s="38"/>
      <c r="AI5" s="40"/>
    </row>
    <row r="6" spans="2:35" s="39" customFormat="1" ht="13.5" customHeight="1" x14ac:dyDescent="0.15">
      <c r="B6" s="38"/>
      <c r="C6" s="41"/>
      <c r="D6" s="41"/>
      <c r="E6" s="41"/>
      <c r="F6" s="41"/>
      <c r="G6" s="41"/>
      <c r="H6" s="41"/>
      <c r="I6" s="41"/>
      <c r="J6" s="41"/>
      <c r="K6" s="41"/>
      <c r="L6" s="41"/>
      <c r="M6" s="41"/>
      <c r="AI6" s="40"/>
    </row>
    <row r="7" spans="2:35" s="39" customFormat="1" ht="13.5" customHeight="1" x14ac:dyDescent="0.15">
      <c r="B7" s="38"/>
      <c r="C7" s="41" t="s">
        <v>25</v>
      </c>
      <c r="D7" s="41"/>
      <c r="E7" s="41"/>
      <c r="F7" s="41"/>
      <c r="G7" s="41"/>
      <c r="H7" s="41"/>
      <c r="I7" s="41"/>
      <c r="J7" s="41"/>
      <c r="K7" s="41"/>
      <c r="L7" s="41"/>
      <c r="M7" s="41"/>
      <c r="AI7" s="40"/>
    </row>
    <row r="8" spans="2:35" s="39" customFormat="1" ht="13.5" customHeight="1" x14ac:dyDescent="0.15">
      <c r="B8" s="38"/>
      <c r="C8" s="41"/>
      <c r="D8" s="41"/>
      <c r="E8" s="41"/>
      <c r="F8" s="41"/>
      <c r="G8" s="41"/>
      <c r="H8" s="41"/>
      <c r="I8" s="41"/>
      <c r="J8" s="41"/>
      <c r="K8" s="41"/>
      <c r="L8" s="41"/>
      <c r="M8" s="41"/>
      <c r="AI8" s="40"/>
    </row>
    <row r="9" spans="2:35" s="39" customFormat="1" ht="13.5" customHeight="1" x14ac:dyDescent="0.15">
      <c r="B9" s="38"/>
      <c r="C9" s="41"/>
      <c r="D9" s="41" t="s">
        <v>26</v>
      </c>
      <c r="E9" s="41"/>
      <c r="F9" s="41"/>
      <c r="G9" s="41"/>
      <c r="H9" s="41"/>
      <c r="I9" s="41"/>
      <c r="J9" s="41"/>
      <c r="K9" s="41"/>
      <c r="L9" s="41"/>
      <c r="M9" s="41"/>
      <c r="AI9" s="40"/>
    </row>
    <row r="10" spans="2:35" s="39" customFormat="1" ht="13.5" customHeight="1" x14ac:dyDescent="0.15">
      <c r="B10" s="38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1"/>
      <c r="AI10" s="40"/>
    </row>
    <row r="11" spans="2:35" s="39" customFormat="1" ht="13.5" customHeight="1" x14ac:dyDescent="0.15">
      <c r="B11" s="38"/>
      <c r="C11" s="41" t="s">
        <v>27</v>
      </c>
      <c r="D11" s="41"/>
      <c r="E11" s="41"/>
      <c r="F11" s="41"/>
      <c r="G11" s="41"/>
      <c r="H11" s="41"/>
      <c r="I11" s="41"/>
      <c r="J11" s="41"/>
      <c r="K11" s="41"/>
      <c r="L11" s="41"/>
      <c r="M11" s="41"/>
      <c r="AI11" s="40"/>
    </row>
    <row r="12" spans="2:35" s="39" customFormat="1" ht="13.5" customHeight="1" x14ac:dyDescent="0.15">
      <c r="B12" s="38"/>
      <c r="C12" s="41"/>
      <c r="D12" s="41"/>
      <c r="E12" s="41"/>
      <c r="F12" s="41"/>
      <c r="G12" s="41"/>
      <c r="H12" s="41"/>
      <c r="I12" s="41"/>
      <c r="J12" s="41"/>
      <c r="K12" s="41"/>
      <c r="L12" s="41"/>
      <c r="M12" s="41"/>
      <c r="AA12" s="41"/>
      <c r="AI12" s="40"/>
    </row>
    <row r="13" spans="2:35" s="39" customFormat="1" ht="13.5" customHeight="1" x14ac:dyDescent="0.15">
      <c r="B13" s="38"/>
      <c r="C13" s="41"/>
      <c r="D13" s="41" t="s">
        <v>28</v>
      </c>
      <c r="E13" s="41"/>
      <c r="F13" s="41"/>
      <c r="G13" s="41"/>
      <c r="H13" s="41"/>
      <c r="I13" s="41"/>
      <c r="J13" s="41"/>
      <c r="K13" s="41"/>
      <c r="L13" s="41"/>
      <c r="M13" s="41"/>
      <c r="AC13" s="41"/>
      <c r="AD13" s="41"/>
      <c r="AI13" s="40"/>
    </row>
    <row r="14" spans="2:35" s="39" customFormat="1" ht="13.5" customHeight="1" x14ac:dyDescent="0.15">
      <c r="B14" s="38"/>
      <c r="C14" s="41"/>
      <c r="D14" s="41" t="s">
        <v>29</v>
      </c>
      <c r="E14" s="41"/>
      <c r="F14" s="41"/>
      <c r="G14" s="41"/>
      <c r="H14" s="41"/>
      <c r="I14" s="41"/>
      <c r="J14" s="41"/>
      <c r="K14" s="41"/>
      <c r="L14" s="41"/>
      <c r="M14" s="41"/>
      <c r="AC14" s="41"/>
      <c r="AD14" s="41"/>
      <c r="AI14" s="40"/>
    </row>
    <row r="15" spans="2:35" s="39" customFormat="1" ht="13.5" customHeight="1" x14ac:dyDescent="0.15">
      <c r="B15" s="38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AC15" s="41"/>
      <c r="AD15" s="41"/>
      <c r="AE15" s="41"/>
      <c r="AF15" s="41"/>
      <c r="AG15" s="41"/>
      <c r="AI15" s="40"/>
    </row>
    <row r="16" spans="2:35" s="39" customFormat="1" ht="13.5" customHeight="1" x14ac:dyDescent="0.15">
      <c r="B16" s="38"/>
      <c r="C16" s="41" t="s">
        <v>30</v>
      </c>
      <c r="D16" s="42"/>
      <c r="E16" s="41"/>
      <c r="F16" s="43"/>
      <c r="G16" s="41"/>
      <c r="H16" s="41"/>
      <c r="I16" s="41"/>
      <c r="J16" s="41"/>
      <c r="K16" s="41"/>
      <c r="L16" s="41"/>
      <c r="M16" s="41"/>
      <c r="AA16" s="41"/>
      <c r="AC16" s="41"/>
      <c r="AD16" s="41"/>
      <c r="AE16" s="41"/>
      <c r="AF16" s="41"/>
      <c r="AG16" s="41"/>
      <c r="AI16" s="40"/>
    </row>
    <row r="17" spans="2:35" s="39" customFormat="1" ht="13.5" customHeight="1" x14ac:dyDescent="0.15">
      <c r="B17" s="38"/>
      <c r="C17" s="41"/>
      <c r="D17" s="42"/>
      <c r="E17" s="41"/>
      <c r="F17" s="43"/>
      <c r="G17" s="41"/>
      <c r="H17" s="41"/>
      <c r="I17" s="41"/>
      <c r="J17" s="41"/>
      <c r="K17" s="41"/>
      <c r="L17" s="41"/>
      <c r="M17" s="41"/>
      <c r="AF17" s="41"/>
      <c r="AG17" s="41"/>
      <c r="AI17" s="40"/>
    </row>
    <row r="18" spans="2:35" s="39" customFormat="1" ht="13.5" customHeight="1" x14ac:dyDescent="0.15">
      <c r="B18" s="38"/>
      <c r="D18" s="39" t="s">
        <v>31</v>
      </c>
      <c r="AF18" s="41"/>
      <c r="AG18" s="41"/>
      <c r="AI18" s="40"/>
    </row>
    <row r="19" spans="2:35" s="39" customFormat="1" ht="13.5" customHeight="1" x14ac:dyDescent="0.15">
      <c r="B19" s="38"/>
      <c r="C19" s="41"/>
      <c r="D19" s="41"/>
      <c r="E19" s="41"/>
      <c r="F19" s="41"/>
      <c r="G19" s="41"/>
      <c r="H19" s="41"/>
      <c r="I19" s="41"/>
      <c r="J19" s="41"/>
      <c r="K19" s="41"/>
      <c r="L19" s="41"/>
      <c r="M19" s="41"/>
      <c r="N19" s="41"/>
      <c r="AF19" s="41"/>
      <c r="AG19" s="41"/>
      <c r="AI19" s="40"/>
    </row>
    <row r="20" spans="2:35" s="39" customFormat="1" ht="13.5" customHeight="1" x14ac:dyDescent="0.15">
      <c r="B20" s="38"/>
      <c r="C20" s="41"/>
      <c r="D20" s="41"/>
      <c r="E20" s="41" t="s">
        <v>32</v>
      </c>
      <c r="F20" s="41"/>
      <c r="G20" s="41"/>
      <c r="H20" s="41"/>
      <c r="I20" s="41"/>
      <c r="J20" s="41"/>
      <c r="K20" s="41"/>
      <c r="M20" s="41"/>
      <c r="N20" s="41"/>
      <c r="AF20" s="41"/>
      <c r="AG20" s="41"/>
      <c r="AI20" s="40"/>
    </row>
    <row r="21" spans="2:35" s="39" customFormat="1" ht="13.5" customHeight="1" x14ac:dyDescent="0.15">
      <c r="B21" s="38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P21" s="41"/>
      <c r="Q21" s="41"/>
      <c r="R21" s="41"/>
      <c r="S21" s="41"/>
      <c r="T21" s="41"/>
      <c r="U21" s="41"/>
      <c r="V21" s="41"/>
      <c r="W21" s="41"/>
      <c r="X21" s="41"/>
      <c r="AF21" s="41"/>
      <c r="AG21" s="41"/>
      <c r="AI21" s="40"/>
    </row>
    <row r="22" spans="2:35" s="39" customFormat="1" ht="13.5" customHeight="1" x14ac:dyDescent="0.15">
      <c r="B22" s="38"/>
      <c r="C22" s="41"/>
      <c r="D22" s="41"/>
      <c r="E22" s="41" t="s">
        <v>33</v>
      </c>
      <c r="F22" s="41"/>
      <c r="G22" s="41"/>
      <c r="I22" s="41"/>
      <c r="J22" s="41" t="s">
        <v>34</v>
      </c>
      <c r="K22" s="41"/>
      <c r="L22" s="41"/>
      <c r="M22" s="41"/>
      <c r="N22" s="41"/>
      <c r="X22" s="44"/>
      <c r="AF22" s="41"/>
      <c r="AG22" s="41"/>
      <c r="AI22" s="40"/>
    </row>
    <row r="23" spans="2:35" s="39" customFormat="1" ht="13.5" customHeight="1" x14ac:dyDescent="0.15">
      <c r="B23" s="38"/>
      <c r="C23" s="41"/>
      <c r="D23" s="41"/>
      <c r="E23" s="45" t="s">
        <v>35</v>
      </c>
      <c r="F23" s="41"/>
      <c r="G23" s="41"/>
      <c r="I23" s="41"/>
      <c r="J23" s="41" t="s">
        <v>36</v>
      </c>
      <c r="K23" s="41"/>
      <c r="L23" s="41"/>
      <c r="M23" s="41"/>
      <c r="N23" s="41"/>
      <c r="X23" s="44"/>
      <c r="AE23" s="41"/>
      <c r="AI23" s="40"/>
    </row>
    <row r="24" spans="2:35" s="39" customFormat="1" ht="13.5" customHeight="1" x14ac:dyDescent="0.15">
      <c r="B24" s="38"/>
      <c r="C24" s="41"/>
      <c r="D24" s="41"/>
      <c r="E24" s="41"/>
      <c r="F24" s="41"/>
      <c r="G24" s="41"/>
      <c r="H24" s="41"/>
      <c r="I24" s="41"/>
      <c r="J24" s="41"/>
      <c r="K24" s="41"/>
      <c r="L24" s="41"/>
      <c r="M24" s="41"/>
      <c r="N24" s="41"/>
      <c r="X24" s="46"/>
      <c r="AE24" s="41"/>
      <c r="AI24" s="40"/>
    </row>
    <row r="25" spans="2:35" s="39" customFormat="1" ht="13.5" customHeight="1" x14ac:dyDescent="0.15">
      <c r="B25" s="38"/>
      <c r="C25" s="41"/>
      <c r="D25" s="41" t="s">
        <v>37</v>
      </c>
      <c r="E25" s="41"/>
      <c r="F25" s="41"/>
      <c r="G25" s="41"/>
      <c r="H25" s="41"/>
      <c r="I25" s="41"/>
      <c r="J25" s="41"/>
      <c r="K25" s="41"/>
      <c r="L25" s="41"/>
      <c r="M25" s="41"/>
      <c r="N25" s="41"/>
      <c r="AE25" s="41"/>
      <c r="AF25" s="41"/>
      <c r="AG25" s="41"/>
      <c r="AH25" s="41"/>
      <c r="AI25" s="40"/>
    </row>
    <row r="26" spans="2:35" s="39" customFormat="1" ht="13.5" customHeight="1" x14ac:dyDescent="0.15">
      <c r="B26" s="38"/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P26" s="41"/>
      <c r="Q26" s="41"/>
      <c r="R26" s="41"/>
      <c r="S26" s="41"/>
      <c r="T26" s="41"/>
      <c r="U26" s="41"/>
      <c r="V26" s="41"/>
      <c r="W26" s="44"/>
      <c r="Y26" s="41"/>
      <c r="Z26" s="41"/>
      <c r="AA26" s="41"/>
      <c r="AB26" s="41"/>
      <c r="AC26" s="44"/>
      <c r="AD26" s="41"/>
      <c r="AE26" s="41"/>
      <c r="AF26" s="41"/>
      <c r="AG26" s="41"/>
      <c r="AH26" s="41"/>
      <c r="AI26" s="40"/>
    </row>
    <row r="27" spans="2:35" s="39" customFormat="1" ht="13.5" customHeight="1" x14ac:dyDescent="0.15">
      <c r="B27" s="38"/>
      <c r="C27" s="41"/>
      <c r="D27" s="41"/>
      <c r="E27" s="323" t="s">
        <v>38</v>
      </c>
      <c r="F27" s="323"/>
      <c r="G27" s="323"/>
      <c r="H27" s="323"/>
      <c r="I27" s="323"/>
      <c r="J27" s="323"/>
      <c r="K27" s="323" t="s">
        <v>39</v>
      </c>
      <c r="L27" s="323"/>
      <c r="M27" s="323"/>
      <c r="N27" s="323"/>
      <c r="O27" s="323"/>
      <c r="P27" s="323"/>
      <c r="Q27" s="41"/>
      <c r="R27" s="41"/>
      <c r="S27" s="41"/>
      <c r="T27" s="41"/>
      <c r="U27" s="41"/>
      <c r="V27" s="41"/>
      <c r="W27" s="44"/>
      <c r="Y27" s="41"/>
      <c r="Z27" s="41"/>
      <c r="AB27" s="41"/>
      <c r="AC27" s="44"/>
      <c r="AD27" s="41"/>
      <c r="AE27" s="41"/>
      <c r="AF27" s="41"/>
      <c r="AG27" s="41"/>
      <c r="AH27" s="41"/>
      <c r="AI27" s="40"/>
    </row>
    <row r="28" spans="2:35" s="39" customFormat="1" ht="13.5" customHeight="1" x14ac:dyDescent="0.15">
      <c r="B28" s="38"/>
      <c r="C28" s="41"/>
      <c r="D28" s="41"/>
      <c r="E28" s="315" t="s">
        <v>40</v>
      </c>
      <c r="F28" s="315"/>
      <c r="G28" s="315"/>
      <c r="H28" s="315"/>
      <c r="I28" s="315"/>
      <c r="J28" s="315"/>
      <c r="K28" s="315" t="s">
        <v>41</v>
      </c>
      <c r="L28" s="315"/>
      <c r="M28" s="315"/>
      <c r="N28" s="315"/>
      <c r="O28" s="315"/>
      <c r="P28" s="315"/>
      <c r="Q28" s="41"/>
      <c r="R28" s="41"/>
      <c r="S28" s="41"/>
      <c r="T28" s="41"/>
      <c r="U28" s="41"/>
      <c r="V28" s="41"/>
      <c r="W28" s="44"/>
      <c r="Y28" s="41"/>
      <c r="Z28" s="41"/>
      <c r="AB28" s="44"/>
      <c r="AC28" s="44"/>
      <c r="AD28" s="41"/>
      <c r="AE28" s="41"/>
      <c r="AF28" s="41"/>
      <c r="AG28" s="41"/>
      <c r="AH28" s="41"/>
      <c r="AI28" s="40"/>
    </row>
    <row r="29" spans="2:35" s="39" customFormat="1" ht="13.5" customHeight="1" x14ac:dyDescent="0.15">
      <c r="B29" s="38"/>
      <c r="C29" s="41"/>
      <c r="D29" s="41"/>
      <c r="E29" s="315" t="s">
        <v>42</v>
      </c>
      <c r="F29" s="315"/>
      <c r="G29" s="315"/>
      <c r="H29" s="315"/>
      <c r="I29" s="315"/>
      <c r="J29" s="315"/>
      <c r="K29" s="315" t="s">
        <v>43</v>
      </c>
      <c r="L29" s="315"/>
      <c r="M29" s="315"/>
      <c r="N29" s="315"/>
      <c r="O29" s="315"/>
      <c r="P29" s="315"/>
      <c r="Q29" s="41"/>
      <c r="R29" s="41"/>
      <c r="S29" s="41"/>
      <c r="T29" s="41"/>
      <c r="U29" s="41"/>
      <c r="W29" s="46"/>
      <c r="Y29" s="44"/>
      <c r="Z29" s="44"/>
      <c r="AA29" s="47"/>
      <c r="AB29" s="44"/>
      <c r="AC29" s="44"/>
      <c r="AD29" s="41"/>
      <c r="AE29" s="44"/>
      <c r="AF29" s="41"/>
      <c r="AG29" s="41"/>
      <c r="AH29" s="41"/>
      <c r="AI29" s="40"/>
    </row>
    <row r="30" spans="2:35" s="39" customFormat="1" ht="13.5" customHeight="1" x14ac:dyDescent="0.15">
      <c r="B30" s="38"/>
      <c r="C30" s="41"/>
      <c r="D30" s="41"/>
      <c r="E30" s="315" t="s">
        <v>44</v>
      </c>
      <c r="F30" s="315"/>
      <c r="G30" s="315"/>
      <c r="H30" s="315"/>
      <c r="I30" s="315"/>
      <c r="J30" s="315"/>
      <c r="K30" s="315" t="s">
        <v>206</v>
      </c>
      <c r="L30" s="315"/>
      <c r="M30" s="315"/>
      <c r="N30" s="315"/>
      <c r="O30" s="315"/>
      <c r="P30" s="315"/>
      <c r="Y30" s="44"/>
      <c r="Z30" s="44"/>
      <c r="AA30" s="47"/>
      <c r="AB30" s="44"/>
      <c r="AC30" s="46"/>
      <c r="AD30" s="44"/>
      <c r="AE30" s="44"/>
      <c r="AF30" s="41"/>
      <c r="AG30" s="41"/>
      <c r="AH30" s="41"/>
      <c r="AI30" s="40"/>
    </row>
    <row r="31" spans="2:35" s="39" customFormat="1" ht="13.5" customHeight="1" x14ac:dyDescent="0.15">
      <c r="B31" s="38"/>
      <c r="C31" s="41"/>
      <c r="D31" s="41"/>
      <c r="E31" s="41"/>
      <c r="F31" s="41"/>
      <c r="G31" s="41"/>
      <c r="H31" s="41"/>
      <c r="I31" s="41"/>
      <c r="J31" s="41"/>
      <c r="K31" s="41"/>
      <c r="L31" s="41"/>
      <c r="M31" s="41"/>
      <c r="N31" s="41"/>
      <c r="Y31" s="46"/>
      <c r="Z31" s="46"/>
      <c r="AA31" s="48"/>
      <c r="AB31" s="44"/>
      <c r="AC31" s="46"/>
      <c r="AD31" s="44"/>
      <c r="AE31" s="46"/>
      <c r="AF31" s="41"/>
      <c r="AG31" s="41"/>
      <c r="AH31" s="41"/>
      <c r="AI31" s="40"/>
    </row>
    <row r="32" spans="2:35" s="39" customFormat="1" ht="13.5" customHeight="1" x14ac:dyDescent="0.15">
      <c r="B32" s="38"/>
      <c r="C32" s="41"/>
      <c r="D32" s="41"/>
      <c r="E32" s="41" t="s">
        <v>45</v>
      </c>
      <c r="F32" s="41"/>
      <c r="G32" s="41"/>
      <c r="H32" s="41"/>
      <c r="I32" s="41"/>
      <c r="J32" s="41" t="s">
        <v>34</v>
      </c>
      <c r="K32" s="41"/>
      <c r="L32" s="41"/>
      <c r="M32" s="41"/>
      <c r="N32" s="41"/>
      <c r="Y32" s="44"/>
      <c r="Z32" s="44"/>
      <c r="AA32" s="47"/>
      <c r="AB32" s="44"/>
      <c r="AC32" s="44"/>
      <c r="AD32" s="46"/>
      <c r="AE32" s="46"/>
      <c r="AF32" s="41"/>
      <c r="AG32" s="41"/>
      <c r="AH32" s="41"/>
      <c r="AI32" s="40"/>
    </row>
    <row r="33" spans="1:51" s="39" customFormat="1" ht="13.5" customHeight="1" x14ac:dyDescent="0.15">
      <c r="B33" s="38"/>
      <c r="C33" s="41"/>
      <c r="D33" s="41"/>
      <c r="E33" s="45" t="s">
        <v>46</v>
      </c>
      <c r="F33" s="41"/>
      <c r="G33" s="41"/>
      <c r="H33" s="41"/>
      <c r="I33" s="41"/>
      <c r="J33" s="41" t="s">
        <v>47</v>
      </c>
      <c r="K33" s="41"/>
      <c r="L33" s="41"/>
      <c r="M33" s="41"/>
      <c r="N33" s="41"/>
      <c r="Y33" s="44"/>
      <c r="Z33" s="44"/>
      <c r="AA33" s="48"/>
      <c r="AE33" s="44"/>
      <c r="AF33" s="41"/>
      <c r="AG33" s="41"/>
      <c r="AH33" s="41"/>
      <c r="AI33" s="40"/>
    </row>
    <row r="34" spans="1:51" s="39" customFormat="1" ht="13.5" customHeight="1" x14ac:dyDescent="0.15">
      <c r="B34" s="38"/>
      <c r="C34" s="41"/>
      <c r="D34" s="41"/>
      <c r="E34" s="41"/>
      <c r="F34" s="41"/>
      <c r="G34" s="41"/>
      <c r="H34" s="41"/>
      <c r="I34" s="41"/>
      <c r="J34" s="41"/>
      <c r="K34" s="41" t="s">
        <v>48</v>
      </c>
      <c r="L34" s="41"/>
      <c r="M34" s="41"/>
      <c r="N34" s="41"/>
      <c r="AE34" s="44"/>
      <c r="AF34" s="41"/>
      <c r="AG34" s="41"/>
      <c r="AH34" s="41"/>
      <c r="AI34" s="40"/>
    </row>
    <row r="35" spans="1:51" s="39" customFormat="1" ht="13.5" customHeight="1" x14ac:dyDescent="0.15">
      <c r="B35" s="38"/>
      <c r="C35" s="41"/>
      <c r="D35" s="41"/>
      <c r="E35" s="41"/>
      <c r="F35" s="41"/>
      <c r="G35" s="41"/>
      <c r="H35" s="41"/>
      <c r="I35" s="41"/>
      <c r="J35" s="41"/>
      <c r="K35" s="41"/>
      <c r="L35" s="41"/>
      <c r="M35" s="41"/>
      <c r="N35" s="41"/>
      <c r="AE35" s="44"/>
      <c r="AF35" s="41"/>
      <c r="AG35" s="41"/>
      <c r="AH35" s="41"/>
      <c r="AI35" s="40"/>
    </row>
    <row r="36" spans="1:51" s="39" customFormat="1" ht="13.5" customHeight="1" x14ac:dyDescent="0.15">
      <c r="B36" s="38"/>
      <c r="C36" s="41"/>
      <c r="D36" s="41" t="s">
        <v>49</v>
      </c>
      <c r="E36" s="41"/>
      <c r="F36" s="41"/>
      <c r="G36" s="41"/>
      <c r="H36" s="41"/>
      <c r="I36" s="41"/>
      <c r="J36" s="41"/>
      <c r="K36" s="41"/>
      <c r="L36" s="41"/>
      <c r="M36" s="41"/>
      <c r="N36" s="41"/>
      <c r="AE36" s="44"/>
      <c r="AF36" s="41"/>
      <c r="AG36" s="41"/>
      <c r="AH36" s="41"/>
      <c r="AI36" s="40"/>
    </row>
    <row r="37" spans="1:51" s="39" customFormat="1" ht="13.5" customHeight="1" x14ac:dyDescent="0.15">
      <c r="B37" s="38"/>
      <c r="C37" s="41"/>
      <c r="D37" s="41"/>
      <c r="E37" s="41"/>
      <c r="F37" s="41"/>
      <c r="G37" s="41"/>
      <c r="H37" s="41"/>
      <c r="I37" s="41"/>
      <c r="J37" s="41"/>
      <c r="K37" s="41"/>
      <c r="L37" s="41"/>
      <c r="M37" s="41"/>
      <c r="N37" s="41"/>
      <c r="X37" s="44"/>
      <c r="AB37" s="44"/>
      <c r="AE37" s="41"/>
      <c r="AF37" s="41"/>
      <c r="AG37" s="41"/>
      <c r="AH37" s="41"/>
      <c r="AI37" s="40"/>
    </row>
    <row r="38" spans="1:51" s="39" customFormat="1" ht="13.5" customHeight="1" x14ac:dyDescent="0.15">
      <c r="B38" s="38"/>
      <c r="C38" s="41"/>
      <c r="D38" s="41"/>
      <c r="E38" s="45" t="s">
        <v>46</v>
      </c>
      <c r="F38" s="41"/>
      <c r="G38" s="41"/>
      <c r="H38" s="41"/>
      <c r="I38" s="41"/>
      <c r="J38" s="41"/>
      <c r="K38" s="41"/>
      <c r="L38" s="41"/>
      <c r="M38" s="41"/>
      <c r="N38" s="41"/>
      <c r="Y38" s="44"/>
      <c r="Z38" s="49"/>
      <c r="AA38" s="48"/>
      <c r="AB38" s="49"/>
      <c r="AE38" s="50"/>
      <c r="AF38" s="50"/>
      <c r="AG38" s="50"/>
      <c r="AH38" s="41"/>
      <c r="AI38" s="40"/>
      <c r="AR38" s="22"/>
      <c r="AS38" s="22"/>
      <c r="AT38" s="22"/>
      <c r="AU38" s="22"/>
      <c r="AV38" s="22"/>
      <c r="AW38" s="22"/>
      <c r="AX38" s="22"/>
      <c r="AY38" s="22"/>
    </row>
    <row r="39" spans="1:51" s="39" customFormat="1" ht="13.5" customHeight="1" x14ac:dyDescent="0.15">
      <c r="B39" s="38"/>
      <c r="D39" s="41"/>
      <c r="E39" s="41"/>
      <c r="F39" s="41"/>
      <c r="G39" s="41"/>
      <c r="H39" s="41"/>
      <c r="I39" s="41"/>
      <c r="J39" s="41"/>
      <c r="K39" s="41"/>
      <c r="L39" s="41"/>
      <c r="M39" s="41"/>
      <c r="N39" s="41"/>
      <c r="Y39" s="44"/>
      <c r="Z39" s="49"/>
      <c r="AA39" s="51"/>
      <c r="AB39" s="49"/>
      <c r="AC39" s="49"/>
      <c r="AD39" s="50"/>
      <c r="AF39" s="50"/>
      <c r="AG39" s="50"/>
      <c r="AH39" s="41"/>
      <c r="AI39" s="40"/>
      <c r="AR39" s="22"/>
      <c r="AS39" s="22"/>
      <c r="AT39" s="22"/>
      <c r="AU39" s="22"/>
      <c r="AV39" s="22"/>
      <c r="AW39" s="22"/>
      <c r="AX39" s="22"/>
      <c r="AY39" s="22"/>
    </row>
    <row r="40" spans="1:51" s="39" customFormat="1" ht="13.5" customHeight="1" x14ac:dyDescent="0.15">
      <c r="B40" s="38"/>
      <c r="D40" s="41"/>
      <c r="E40" s="45" t="s">
        <v>46</v>
      </c>
      <c r="F40" s="41"/>
      <c r="G40" s="41"/>
      <c r="H40" s="41"/>
      <c r="I40" s="41"/>
      <c r="J40" s="41" t="s">
        <v>50</v>
      </c>
      <c r="K40" s="41"/>
      <c r="L40" s="41"/>
      <c r="M40" s="41"/>
      <c r="N40" s="41"/>
      <c r="AD40" s="49"/>
      <c r="AE40" s="50"/>
      <c r="AF40" s="50"/>
      <c r="AG40" s="50"/>
      <c r="AH40" s="41"/>
      <c r="AI40" s="40"/>
      <c r="AR40" s="22"/>
      <c r="AS40" s="22"/>
      <c r="AT40" s="22"/>
      <c r="AU40" s="22"/>
      <c r="AV40" s="22"/>
      <c r="AW40" s="22"/>
      <c r="AX40" s="22"/>
      <c r="AY40" s="22"/>
    </row>
    <row r="41" spans="1:51" s="39" customFormat="1" ht="13.5" customHeight="1" x14ac:dyDescent="0.15">
      <c r="B41" s="38"/>
      <c r="K41" s="41" t="s">
        <v>48</v>
      </c>
      <c r="AD41" s="49"/>
      <c r="AE41" s="50"/>
      <c r="AF41" s="50"/>
      <c r="AG41" s="50"/>
      <c r="AH41" s="41"/>
      <c r="AI41" s="40"/>
      <c r="AR41" s="22"/>
      <c r="AS41" s="22"/>
      <c r="AT41" s="22"/>
      <c r="AU41" s="22"/>
      <c r="AV41" s="22"/>
      <c r="AW41" s="22"/>
      <c r="AX41" s="22"/>
      <c r="AY41" s="22"/>
    </row>
    <row r="42" spans="1:51" s="39" customFormat="1" ht="13.5" customHeight="1" x14ac:dyDescent="0.15">
      <c r="B42" s="38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4"/>
      <c r="X42" s="44"/>
      <c r="Y42" s="41"/>
      <c r="Z42" s="50"/>
      <c r="AA42" s="50"/>
      <c r="AB42" s="50"/>
      <c r="AD42" s="49"/>
      <c r="AE42" s="50"/>
      <c r="AF42" s="50"/>
      <c r="AG42" s="50"/>
      <c r="AH42" s="41"/>
      <c r="AI42" s="40"/>
      <c r="AR42" s="22"/>
      <c r="AS42" s="22"/>
      <c r="AT42" s="22"/>
      <c r="AU42" s="22"/>
      <c r="AV42" s="22"/>
      <c r="AW42" s="22"/>
      <c r="AX42" s="22"/>
      <c r="AY42" s="22"/>
    </row>
    <row r="43" spans="1:51" s="39" customFormat="1" ht="13.5" customHeight="1" x14ac:dyDescent="0.15">
      <c r="B43" s="38"/>
      <c r="D43" s="39" t="s">
        <v>51</v>
      </c>
      <c r="K43" s="41"/>
      <c r="L43" s="41"/>
      <c r="M43" s="41"/>
      <c r="N43" s="41"/>
      <c r="O43" s="41"/>
      <c r="P43" s="41"/>
      <c r="Q43" s="41"/>
      <c r="R43" s="41"/>
      <c r="S43" s="41"/>
      <c r="T43" s="41"/>
      <c r="U43" s="41"/>
      <c r="V43" s="41"/>
      <c r="W43" s="44"/>
      <c r="X43" s="44"/>
      <c r="Y43" s="41"/>
      <c r="Z43" s="50"/>
      <c r="AA43" s="50"/>
      <c r="AB43" s="50"/>
      <c r="AC43" s="50"/>
      <c r="AD43" s="50"/>
      <c r="AE43" s="50"/>
      <c r="AF43" s="50"/>
      <c r="AG43" s="50"/>
      <c r="AH43" s="41"/>
      <c r="AI43" s="40"/>
      <c r="AR43" s="22"/>
      <c r="AS43" s="22"/>
      <c r="AT43" s="22"/>
      <c r="AU43" s="22"/>
      <c r="AV43" s="22"/>
      <c r="AW43" s="22"/>
      <c r="AX43" s="22"/>
      <c r="AY43" s="22"/>
    </row>
    <row r="44" spans="1:51" s="39" customFormat="1" ht="13.5" customHeight="1" x14ac:dyDescent="0.15">
      <c r="B44" s="38"/>
      <c r="Y44" s="41"/>
      <c r="Z44" s="41"/>
      <c r="AA44" s="41"/>
      <c r="AB44" s="41"/>
      <c r="AC44" s="41"/>
      <c r="AD44" s="41"/>
      <c r="AE44" s="41"/>
      <c r="AF44" s="41"/>
      <c r="AG44" s="41"/>
      <c r="AH44" s="41"/>
      <c r="AI44" s="52"/>
      <c r="AR44" s="22"/>
      <c r="AS44" s="22"/>
      <c r="AT44" s="22"/>
      <c r="AU44" s="22"/>
      <c r="AV44" s="22"/>
      <c r="AW44" s="22"/>
      <c r="AX44" s="22"/>
      <c r="AY44" s="22"/>
    </row>
    <row r="45" spans="1:51" s="39" customFormat="1" ht="13.5" customHeight="1" x14ac:dyDescent="0.15">
      <c r="B45" s="38"/>
      <c r="E45" s="39" t="s">
        <v>52</v>
      </c>
      <c r="K45" s="41"/>
      <c r="L45" s="41"/>
      <c r="M45" s="41"/>
      <c r="N45" s="41"/>
      <c r="O45" s="41"/>
      <c r="P45" s="41"/>
      <c r="Q45" s="41"/>
      <c r="R45" s="41"/>
      <c r="S45" s="41"/>
      <c r="T45" s="41"/>
      <c r="U45" s="41"/>
      <c r="V45" s="41"/>
      <c r="W45" s="41"/>
      <c r="X45" s="41"/>
      <c r="Y45" s="41"/>
      <c r="Z45" s="41"/>
      <c r="AA45" s="41"/>
      <c r="AB45" s="41"/>
      <c r="AC45" s="41"/>
      <c r="AD45" s="41"/>
      <c r="AE45" s="41"/>
      <c r="AF45" s="41"/>
      <c r="AG45" s="41"/>
      <c r="AH45" s="41"/>
      <c r="AI45" s="40"/>
      <c r="AR45" s="22"/>
      <c r="AS45" s="22"/>
      <c r="AT45" s="22"/>
      <c r="AU45" s="22"/>
      <c r="AV45" s="22"/>
      <c r="AW45" s="22"/>
      <c r="AX45" s="22"/>
      <c r="AY45" s="22"/>
    </row>
    <row r="46" spans="1:51" s="39" customFormat="1" ht="13.5" customHeight="1" x14ac:dyDescent="0.15">
      <c r="B46" s="38"/>
      <c r="C46" s="53"/>
      <c r="D46" s="53"/>
      <c r="E46" s="41"/>
      <c r="F46" s="53"/>
      <c r="G46" s="53"/>
      <c r="H46" s="53"/>
      <c r="I46" s="53"/>
      <c r="J46" s="53"/>
      <c r="K46" s="54"/>
      <c r="L46" s="53"/>
      <c r="M46" s="53"/>
      <c r="N46" s="53"/>
      <c r="O46" s="54"/>
      <c r="P46" s="53"/>
      <c r="Q46" s="53"/>
      <c r="R46" s="53"/>
      <c r="S46" s="54"/>
      <c r="T46" s="53"/>
      <c r="U46" s="53"/>
      <c r="V46" s="53"/>
      <c r="W46" s="55"/>
      <c r="X46" s="56"/>
      <c r="Y46" s="56"/>
      <c r="Z46" s="56"/>
      <c r="AA46" s="56"/>
      <c r="AB46" s="56"/>
      <c r="AC46" s="57"/>
      <c r="AD46" s="58"/>
      <c r="AE46" s="41"/>
      <c r="AF46" s="41"/>
      <c r="AG46" s="41"/>
      <c r="AH46" s="41"/>
      <c r="AI46" s="40"/>
      <c r="AR46" s="22"/>
      <c r="AS46" s="22"/>
      <c r="AT46" s="22"/>
      <c r="AU46" s="22"/>
      <c r="AV46" s="22"/>
      <c r="AW46" s="22"/>
      <c r="AX46" s="22"/>
      <c r="AY46" s="22"/>
    </row>
    <row r="47" spans="1:51" s="39" customFormat="1" ht="13.5" customHeight="1" x14ac:dyDescent="0.15">
      <c r="A47" s="59" t="s">
        <v>53</v>
      </c>
      <c r="B47" s="60"/>
      <c r="E47" s="39" t="s">
        <v>54</v>
      </c>
      <c r="J47" s="39" t="s">
        <v>34</v>
      </c>
      <c r="AE47" s="58"/>
      <c r="AF47" s="58"/>
      <c r="AG47" s="58"/>
      <c r="AH47" s="58"/>
      <c r="AI47" s="61"/>
      <c r="AR47" s="22"/>
      <c r="AS47" s="22"/>
      <c r="AT47" s="22"/>
      <c r="AU47" s="22"/>
      <c r="AV47" s="22"/>
      <c r="AW47" s="22"/>
      <c r="AX47" s="22"/>
      <c r="AY47" s="22"/>
    </row>
    <row r="48" spans="1:51" s="39" customFormat="1" ht="13.5" customHeight="1" x14ac:dyDescent="0.15">
      <c r="A48" s="59" t="s">
        <v>53</v>
      </c>
      <c r="B48" s="38"/>
      <c r="D48" s="41"/>
      <c r="E48" s="45" t="s">
        <v>46</v>
      </c>
      <c r="F48" s="41"/>
      <c r="G48" s="41"/>
      <c r="H48" s="41"/>
      <c r="I48" s="41"/>
      <c r="J48" s="41" t="s">
        <v>55</v>
      </c>
      <c r="K48" s="41"/>
      <c r="L48" s="41"/>
      <c r="M48" s="41"/>
      <c r="N48" s="41"/>
      <c r="AD48" s="49"/>
      <c r="AE48" s="50"/>
      <c r="AF48" s="50"/>
      <c r="AG48" s="50"/>
      <c r="AH48" s="41"/>
      <c r="AI48" s="40"/>
    </row>
    <row r="49" spans="1:35" s="39" customFormat="1" ht="13.5" customHeight="1" x14ac:dyDescent="0.15">
      <c r="A49" s="59" t="s">
        <v>53</v>
      </c>
      <c r="B49" s="38"/>
      <c r="K49" s="41" t="s">
        <v>48</v>
      </c>
      <c r="AD49" s="49"/>
      <c r="AE49" s="50"/>
      <c r="AF49" s="50"/>
      <c r="AG49" s="50"/>
      <c r="AH49" s="41"/>
      <c r="AI49" s="40"/>
    </row>
    <row r="50" spans="1:35" s="39" customFormat="1" ht="13.5" customHeight="1" x14ac:dyDescent="0.15">
      <c r="A50" s="59" t="s">
        <v>53</v>
      </c>
      <c r="B50" s="324"/>
      <c r="C50" s="325"/>
      <c r="D50" s="325"/>
      <c r="E50" s="326"/>
      <c r="F50" s="325"/>
      <c r="G50" s="325"/>
      <c r="H50" s="325"/>
      <c r="I50" s="325"/>
      <c r="J50" s="325"/>
      <c r="K50" s="327"/>
      <c r="L50" s="325"/>
      <c r="M50" s="325"/>
      <c r="N50" s="325"/>
      <c r="O50" s="327"/>
      <c r="P50" s="325"/>
      <c r="Q50" s="325"/>
      <c r="R50" s="325"/>
      <c r="S50" s="327"/>
      <c r="T50" s="325"/>
      <c r="U50" s="325"/>
      <c r="V50" s="325"/>
      <c r="W50" s="328"/>
      <c r="X50" s="329"/>
      <c r="Y50" s="329"/>
      <c r="Z50" s="329"/>
      <c r="AA50" s="329"/>
      <c r="AB50" s="329"/>
      <c r="AC50" s="330"/>
      <c r="AD50" s="331"/>
      <c r="AE50" s="331"/>
      <c r="AF50" s="331"/>
      <c r="AG50" s="331"/>
      <c r="AH50" s="331"/>
      <c r="AI50" s="332"/>
    </row>
    <row r="51" spans="1:35" s="39" customFormat="1" ht="13.5" customHeight="1" x14ac:dyDescent="0.15">
      <c r="A51" s="59" t="s">
        <v>53</v>
      </c>
      <c r="B51" s="324"/>
      <c r="C51" s="325"/>
      <c r="D51" s="325"/>
      <c r="E51" s="326"/>
      <c r="F51" s="325"/>
      <c r="G51" s="325"/>
      <c r="H51" s="325"/>
      <c r="I51" s="325"/>
      <c r="J51" s="325"/>
      <c r="K51" s="327"/>
      <c r="L51" s="325"/>
      <c r="M51" s="325"/>
      <c r="N51" s="325"/>
      <c r="O51" s="327"/>
      <c r="P51" s="325"/>
      <c r="Q51" s="325"/>
      <c r="R51" s="325"/>
      <c r="W51" s="55"/>
      <c r="AC51" s="62"/>
      <c r="AD51" s="63"/>
      <c r="AE51" s="63"/>
      <c r="AF51" s="63"/>
      <c r="AG51" s="63"/>
      <c r="AH51" s="63"/>
      <c r="AI51" s="64"/>
    </row>
    <row r="52" spans="1:35" ht="13.5" customHeight="1" x14ac:dyDescent="0.15">
      <c r="A52" s="41"/>
      <c r="B52" s="333"/>
      <c r="C52" s="334"/>
      <c r="D52" s="334"/>
      <c r="E52" s="335"/>
      <c r="F52" s="336"/>
      <c r="G52" s="336"/>
      <c r="H52" s="336"/>
      <c r="I52" s="336"/>
      <c r="J52" s="336"/>
      <c r="K52" s="336"/>
      <c r="L52" s="334"/>
      <c r="M52" s="334"/>
      <c r="N52" s="334"/>
      <c r="O52" s="336"/>
      <c r="P52" s="334"/>
      <c r="Q52" s="334"/>
      <c r="R52" s="334"/>
      <c r="S52" s="65"/>
      <c r="T52" s="66"/>
      <c r="U52" s="65"/>
      <c r="V52" s="65"/>
      <c r="W52" s="66"/>
      <c r="X52" s="65"/>
      <c r="Y52" s="65"/>
      <c r="Z52" s="65"/>
      <c r="AA52" s="65"/>
      <c r="AB52" s="65"/>
      <c r="AC52" s="67"/>
      <c r="AD52" s="65"/>
      <c r="AE52" s="65"/>
      <c r="AF52" s="65"/>
      <c r="AG52" s="65"/>
      <c r="AH52" s="65"/>
      <c r="AI52" s="68"/>
    </row>
    <row r="53" spans="1:35" ht="13.5" customHeight="1" thickBot="1" x14ac:dyDescent="0.2">
      <c r="A53" s="69" t="s">
        <v>56</v>
      </c>
      <c r="B53" s="337" t="s">
        <v>57</v>
      </c>
      <c r="C53" s="338"/>
      <c r="D53" s="339"/>
      <c r="E53" s="340" t="s">
        <v>58</v>
      </c>
      <c r="F53" s="338"/>
      <c r="G53" s="338"/>
      <c r="H53" s="338"/>
      <c r="I53" s="338"/>
      <c r="J53" s="339"/>
      <c r="K53" s="340" t="s">
        <v>59</v>
      </c>
      <c r="L53" s="338"/>
      <c r="M53" s="338"/>
      <c r="N53" s="339"/>
      <c r="O53" s="340" t="s">
        <v>60</v>
      </c>
      <c r="P53" s="338"/>
      <c r="Q53" s="338"/>
      <c r="R53" s="339"/>
      <c r="S53" s="340" t="s">
        <v>61</v>
      </c>
      <c r="T53" s="338"/>
      <c r="U53" s="338"/>
      <c r="V53" s="339"/>
      <c r="W53" s="340" t="s">
        <v>62</v>
      </c>
      <c r="X53" s="338"/>
      <c r="Y53" s="338"/>
      <c r="Z53" s="338"/>
      <c r="AA53" s="338"/>
      <c r="AB53" s="339"/>
      <c r="AC53" s="340" t="s">
        <v>63</v>
      </c>
      <c r="AD53" s="338"/>
      <c r="AE53" s="338"/>
      <c r="AF53" s="338"/>
      <c r="AG53" s="338"/>
      <c r="AH53" s="338"/>
      <c r="AI53" s="341"/>
    </row>
    <row r="54" spans="1:35" ht="16.7" customHeight="1" thickTop="1" thickBot="1" x14ac:dyDescent="0.2">
      <c r="A54" s="41"/>
      <c r="B54" s="70" t="s">
        <v>64</v>
      </c>
      <c r="C54" s="71"/>
      <c r="D54" s="72"/>
      <c r="E54" s="70" t="s">
        <v>65</v>
      </c>
      <c r="F54" s="71"/>
      <c r="G54" s="72"/>
      <c r="H54" s="70" t="s">
        <v>66</v>
      </c>
      <c r="I54" s="73"/>
      <c r="J54" s="74"/>
      <c r="K54" s="342"/>
      <c r="L54" s="343"/>
      <c r="M54" s="343"/>
      <c r="N54" s="343"/>
      <c r="O54" s="343"/>
      <c r="P54" s="343"/>
      <c r="Q54" s="343"/>
      <c r="R54" s="344"/>
      <c r="S54" s="342" t="s">
        <v>67</v>
      </c>
      <c r="T54" s="345"/>
      <c r="U54" s="345"/>
      <c r="V54" s="346"/>
      <c r="W54" s="342"/>
      <c r="X54" s="343"/>
      <c r="Y54" s="343"/>
      <c r="Z54" s="343"/>
      <c r="AA54" s="343"/>
      <c r="AB54" s="347"/>
      <c r="AC54" s="348"/>
      <c r="AD54" s="343"/>
      <c r="AE54" s="343"/>
      <c r="AF54" s="343"/>
      <c r="AG54" s="343"/>
      <c r="AH54" s="343"/>
      <c r="AI54" s="344"/>
    </row>
    <row r="55" spans="1:35" ht="16.7" customHeight="1" thickBot="1" x14ac:dyDescent="0.2">
      <c r="A55" s="75" t="s">
        <v>68</v>
      </c>
      <c r="B55" s="357"/>
      <c r="C55" s="358"/>
      <c r="D55" s="359"/>
      <c r="E55" s="357"/>
      <c r="F55" s="358"/>
      <c r="G55" s="359"/>
      <c r="H55" s="363" t="s">
        <v>69</v>
      </c>
      <c r="I55" s="364"/>
      <c r="J55" s="365"/>
      <c r="K55" s="349"/>
      <c r="L55" s="350"/>
      <c r="M55" s="350"/>
      <c r="N55" s="350"/>
      <c r="O55" s="350"/>
      <c r="P55" s="350"/>
      <c r="Q55" s="350"/>
      <c r="R55" s="351"/>
      <c r="S55" s="349" t="s">
        <v>70</v>
      </c>
      <c r="T55" s="350"/>
      <c r="U55" s="350"/>
      <c r="V55" s="351"/>
      <c r="W55" s="349"/>
      <c r="X55" s="350"/>
      <c r="Y55" s="350"/>
      <c r="Z55" s="350"/>
      <c r="AA55" s="350"/>
      <c r="AB55" s="350"/>
      <c r="AC55" s="350"/>
      <c r="AD55" s="350"/>
      <c r="AE55" s="350"/>
      <c r="AF55" s="350"/>
      <c r="AG55" s="350"/>
      <c r="AH55" s="350"/>
      <c r="AI55" s="351"/>
    </row>
    <row r="56" spans="1:35" ht="16.7" customHeight="1" thickBot="1" x14ac:dyDescent="0.2">
      <c r="A56" s="75" t="s">
        <v>71</v>
      </c>
      <c r="B56" s="360"/>
      <c r="C56" s="361"/>
      <c r="D56" s="362"/>
      <c r="E56" s="360"/>
      <c r="F56" s="361"/>
      <c r="G56" s="362"/>
      <c r="H56" s="366"/>
      <c r="I56" s="367"/>
      <c r="J56" s="368"/>
      <c r="K56" s="352" t="s">
        <v>72</v>
      </c>
      <c r="L56" s="353"/>
      <c r="M56" s="353"/>
      <c r="N56" s="353"/>
      <c r="O56" s="353"/>
      <c r="P56" s="353"/>
      <c r="Q56" s="353"/>
      <c r="R56" s="354"/>
      <c r="S56" s="352" t="s">
        <v>73</v>
      </c>
      <c r="T56" s="353"/>
      <c r="U56" s="353"/>
      <c r="V56" s="354"/>
      <c r="W56" s="76" t="s">
        <v>74</v>
      </c>
      <c r="X56" s="355"/>
      <c r="Y56" s="353"/>
      <c r="Z56" s="353"/>
      <c r="AA56" s="353"/>
      <c r="AB56" s="356"/>
      <c r="AC56" s="77" t="s">
        <v>75</v>
      </c>
      <c r="AD56" s="355"/>
      <c r="AE56" s="353"/>
      <c r="AF56" s="353"/>
      <c r="AG56" s="353"/>
      <c r="AH56" s="353"/>
      <c r="AI56" s="354"/>
    </row>
    <row r="57" spans="1:35" ht="16.7" customHeight="1" thickTop="1" thickBot="1" x14ac:dyDescent="0.2">
      <c r="B57" s="369" t="s">
        <v>76</v>
      </c>
      <c r="C57" s="369"/>
      <c r="D57" s="369"/>
      <c r="E57" s="369"/>
      <c r="F57" s="369"/>
      <c r="G57" s="369"/>
      <c r="H57" s="369"/>
      <c r="I57" s="369"/>
      <c r="J57" s="369"/>
      <c r="K57" s="369"/>
      <c r="L57" s="369"/>
      <c r="M57" s="369"/>
      <c r="N57" s="369"/>
      <c r="O57" s="369"/>
      <c r="P57" s="369"/>
      <c r="Q57" s="369"/>
      <c r="R57" s="370"/>
      <c r="S57" s="371" t="s">
        <v>77</v>
      </c>
      <c r="T57" s="372"/>
      <c r="U57" s="372"/>
      <c r="V57" s="373"/>
      <c r="W57" s="374" t="s">
        <v>78</v>
      </c>
      <c r="X57" s="375"/>
      <c r="Y57" s="375"/>
      <c r="Z57" s="376"/>
      <c r="AA57" s="377" t="s">
        <v>79</v>
      </c>
      <c r="AB57" s="375"/>
      <c r="AC57" s="375"/>
      <c r="AD57" s="375"/>
      <c r="AE57" s="376"/>
      <c r="AF57" s="377" t="s">
        <v>80</v>
      </c>
      <c r="AG57" s="375"/>
      <c r="AH57" s="375"/>
      <c r="AI57" s="378"/>
    </row>
    <row r="58" spans="1:35" ht="13.5" customHeight="1" thickTop="1" x14ac:dyDescent="0.15"/>
    <row r="59" spans="1:35" ht="13.5" customHeight="1" x14ac:dyDescent="0.15"/>
    <row r="60" spans="1:35" ht="13.5" customHeight="1" x14ac:dyDescent="0.15"/>
    <row r="61" spans="1:35" ht="13.5" customHeight="1" x14ac:dyDescent="0.15"/>
    <row r="62" spans="1:35" ht="13.5" customHeight="1" x14ac:dyDescent="0.15"/>
    <row r="63" spans="1:35" ht="13.5" customHeight="1" x14ac:dyDescent="0.15"/>
    <row r="64" spans="1:35" ht="13.5" customHeight="1" x14ac:dyDescent="0.15"/>
    <row r="65" spans="44:44" ht="13.5" customHeight="1" x14ac:dyDescent="0.15"/>
    <row r="66" spans="44:44" ht="13.5" customHeight="1" x14ac:dyDescent="0.15"/>
    <row r="67" spans="44:44" ht="13.5" customHeight="1" x14ac:dyDescent="0.15"/>
    <row r="80" spans="44:44" x14ac:dyDescent="0.15">
      <c r="AR80" s="78"/>
    </row>
  </sheetData>
  <mergeCells count="52">
    <mergeCell ref="B57:R57"/>
    <mergeCell ref="S57:V57"/>
    <mergeCell ref="W57:Z57"/>
    <mergeCell ref="AA57:AE57"/>
    <mergeCell ref="AF57:AI57"/>
    <mergeCell ref="B55:D56"/>
    <mergeCell ref="E55:G56"/>
    <mergeCell ref="H55:J56"/>
    <mergeCell ref="K55:R55"/>
    <mergeCell ref="S55:V55"/>
    <mergeCell ref="W55:AI55"/>
    <mergeCell ref="K56:R56"/>
    <mergeCell ref="S56:V56"/>
    <mergeCell ref="X56:AB56"/>
    <mergeCell ref="AD56:AI56"/>
    <mergeCell ref="S53:V53"/>
    <mergeCell ref="W53:AB53"/>
    <mergeCell ref="AC53:AI53"/>
    <mergeCell ref="K54:R54"/>
    <mergeCell ref="S54:V54"/>
    <mergeCell ref="W54:AB54"/>
    <mergeCell ref="AC54:AI54"/>
    <mergeCell ref="B52:D52"/>
    <mergeCell ref="E52:J52"/>
    <mergeCell ref="K52:N52"/>
    <mergeCell ref="O52:R52"/>
    <mergeCell ref="B53:D53"/>
    <mergeCell ref="E53:J53"/>
    <mergeCell ref="K53:N53"/>
    <mergeCell ref="O53:R53"/>
    <mergeCell ref="S50:V50"/>
    <mergeCell ref="W50:AB50"/>
    <mergeCell ref="AC50:AI50"/>
    <mergeCell ref="B51:D51"/>
    <mergeCell ref="E51:J51"/>
    <mergeCell ref="K51:N51"/>
    <mergeCell ref="O51:R51"/>
    <mergeCell ref="E29:J29"/>
    <mergeCell ref="K29:P29"/>
    <mergeCell ref="E30:J30"/>
    <mergeCell ref="K30:P30"/>
    <mergeCell ref="B50:D50"/>
    <mergeCell ref="E50:J50"/>
    <mergeCell ref="K50:N50"/>
    <mergeCell ref="O50:R50"/>
    <mergeCell ref="E28:J28"/>
    <mergeCell ref="K28:P28"/>
    <mergeCell ref="O3:Z3"/>
    <mergeCell ref="B4:D4"/>
    <mergeCell ref="E4:AI4"/>
    <mergeCell ref="E27:J27"/>
    <mergeCell ref="K27:P27"/>
  </mergeCells>
  <phoneticPr fontId="1"/>
  <pageMargins left="0.19685039370078741" right="0.27559055118110237" top="0.19685039370078741" bottom="0.15748031496062992" header="0.19685039370078741" footer="0.15748031496062992"/>
  <pageSetup paperSize="9" orientation="portrait" horizontalDpi="4294967293" r:id="rId1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200-000000000000}">
  <sheetPr codeName="Sheet13"/>
  <dimension ref="A1"/>
  <sheetViews>
    <sheetView workbookViewId="0"/>
  </sheetViews>
  <sheetFormatPr defaultRowHeight="13.5" x14ac:dyDescent="0.15"/>
  <cols>
    <col min="1" max="1" width="8.875" customWidth="1"/>
  </cols>
  <sheetData/>
  <phoneticPr fontId="1"/>
  <pageMargins left="0.7" right="0.7" top="0.75" bottom="0.75" header="0.3" footer="0.3"/>
  <pageSetup paperSize="9" orientation="portrait" horizontalDpi="1200" verticalDpi="1200"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300-000000000000}">
  <sheetPr codeName="Sheet12"/>
  <dimension ref="B1:J15"/>
  <sheetViews>
    <sheetView showGridLines="0" tabSelected="1" workbookViewId="0">
      <selection activeCell="G15" sqref="G15"/>
    </sheetView>
  </sheetViews>
  <sheetFormatPr defaultRowHeight="13.5" x14ac:dyDescent="0.15"/>
  <cols>
    <col min="1" max="1" width="2.125" customWidth="1"/>
    <col min="2" max="3" width="2.625" customWidth="1"/>
    <col min="6" max="6" width="2.625" customWidth="1"/>
  </cols>
  <sheetData>
    <row r="1" spans="2:10" x14ac:dyDescent="0.15">
      <c r="B1" s="110" t="s">
        <v>141</v>
      </c>
    </row>
    <row r="3" spans="2:10" x14ac:dyDescent="0.15">
      <c r="B3" t="s">
        <v>137</v>
      </c>
    </row>
    <row r="5" spans="2:10" x14ac:dyDescent="0.15">
      <c r="B5" t="s">
        <v>138</v>
      </c>
    </row>
    <row r="7" spans="2:10" x14ac:dyDescent="0.15">
      <c r="B7" s="109" t="s">
        <v>139</v>
      </c>
    </row>
    <row r="8" spans="2:10" ht="14.25" thickBot="1" x14ac:dyDescent="0.2"/>
    <row r="9" spans="2:10" ht="14.25" thickBot="1" x14ac:dyDescent="0.2">
      <c r="C9" s="111" t="s">
        <v>140</v>
      </c>
      <c r="D9" t="s">
        <v>133</v>
      </c>
    </row>
    <row r="10" spans="2:10" x14ac:dyDescent="0.15">
      <c r="C10" s="108"/>
    </row>
    <row r="11" spans="2:10" ht="14.25" thickBot="1" x14ac:dyDescent="0.2">
      <c r="C11" s="108"/>
      <c r="D11" t="s">
        <v>134</v>
      </c>
    </row>
    <row r="12" spans="2:10" ht="14.25" thickBot="1" x14ac:dyDescent="0.2">
      <c r="C12" s="108"/>
      <c r="D12" s="379" t="s">
        <v>248</v>
      </c>
      <c r="E12" s="380"/>
      <c r="F12" s="380"/>
      <c r="G12" s="380"/>
      <c r="H12" s="380"/>
      <c r="I12" s="380"/>
      <c r="J12" s="381"/>
    </row>
    <row r="13" spans="2:10" x14ac:dyDescent="0.15">
      <c r="C13" s="108"/>
    </row>
    <row r="14" spans="2:10" ht="14.25" thickBot="1" x14ac:dyDescent="0.2"/>
    <row r="15" spans="2:10" ht="14.25" thickBot="1" x14ac:dyDescent="0.2">
      <c r="C15" s="111"/>
      <c r="D15" t="s">
        <v>135</v>
      </c>
    </row>
  </sheetData>
  <mergeCells count="1">
    <mergeCell ref="D12:J12"/>
  </mergeCells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Sheet12.CreateTableSQL">
                <anchor moveWithCells="1">
                  <from>
                    <xdr:col>3</xdr:col>
                    <xdr:colOff>123825</xdr:colOff>
                    <xdr:row>17</xdr:row>
                    <xdr:rowOff>66675</xdr:rowOff>
                  </from>
                  <to>
                    <xdr:col>4</xdr:col>
                    <xdr:colOff>295275</xdr:colOff>
                    <xdr:row>19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400-000000000000}">
  <sheetPr codeName="Sheet11"/>
  <dimension ref="B1:J23"/>
  <sheetViews>
    <sheetView showGridLines="0" topLeftCell="A7" workbookViewId="0">
      <selection activeCell="J25" sqref="J25"/>
    </sheetView>
  </sheetViews>
  <sheetFormatPr defaultRowHeight="13.5" x14ac:dyDescent="0.15"/>
  <cols>
    <col min="1" max="1" width="2.125" customWidth="1"/>
    <col min="2" max="3" width="2.625" customWidth="1"/>
    <col min="6" max="6" width="2.625" customWidth="1"/>
    <col min="9" max="9" width="2.625" customWidth="1"/>
  </cols>
  <sheetData>
    <row r="1" spans="2:10" x14ac:dyDescent="0.15">
      <c r="B1" s="110" t="s">
        <v>136</v>
      </c>
    </row>
    <row r="3" spans="2:10" x14ac:dyDescent="0.15">
      <c r="B3" t="s">
        <v>137</v>
      </c>
    </row>
    <row r="5" spans="2:10" x14ac:dyDescent="0.15">
      <c r="B5" t="s">
        <v>142</v>
      </c>
    </row>
    <row r="7" spans="2:10" x14ac:dyDescent="0.15">
      <c r="B7" s="109" t="s">
        <v>129</v>
      </c>
    </row>
    <row r="8" spans="2:10" ht="14.25" thickBot="1" x14ac:dyDescent="0.2"/>
    <row r="9" spans="2:10" ht="14.25" thickBot="1" x14ac:dyDescent="0.2">
      <c r="C9" s="111" t="s">
        <v>140</v>
      </c>
      <c r="D9" t="s">
        <v>130</v>
      </c>
      <c r="F9" s="111"/>
      <c r="G9" t="s">
        <v>131</v>
      </c>
      <c r="I9" s="111"/>
      <c r="J9" t="s">
        <v>143</v>
      </c>
    </row>
    <row r="11" spans="2:10" x14ac:dyDescent="0.15">
      <c r="B11" s="109" t="s">
        <v>132</v>
      </c>
    </row>
    <row r="12" spans="2:10" ht="14.25" thickBot="1" x14ac:dyDescent="0.2"/>
    <row r="13" spans="2:10" ht="14.25" thickBot="1" x14ac:dyDescent="0.2">
      <c r="C13" s="111" t="s">
        <v>140</v>
      </c>
      <c r="D13" t="s">
        <v>133</v>
      </c>
    </row>
    <row r="14" spans="2:10" x14ac:dyDescent="0.15">
      <c r="C14" s="108"/>
    </row>
    <row r="15" spans="2:10" ht="14.25" thickBot="1" x14ac:dyDescent="0.2">
      <c r="C15" s="108"/>
      <c r="D15" t="s">
        <v>134</v>
      </c>
    </row>
    <row r="16" spans="2:10" ht="14.25" thickBot="1" x14ac:dyDescent="0.2">
      <c r="C16" s="108"/>
      <c r="D16" s="379" t="s">
        <v>207</v>
      </c>
      <c r="E16" s="380"/>
      <c r="F16" s="380"/>
      <c r="G16" s="380"/>
      <c r="H16" s="380"/>
      <c r="I16" s="380"/>
      <c r="J16" s="381"/>
    </row>
    <row r="17" spans="2:9" x14ac:dyDescent="0.15">
      <c r="C17" s="108"/>
    </row>
    <row r="18" spans="2:9" ht="14.25" thickBot="1" x14ac:dyDescent="0.2"/>
    <row r="19" spans="2:9" ht="14.25" thickBot="1" x14ac:dyDescent="0.2">
      <c r="C19" s="111"/>
      <c r="D19" t="s">
        <v>135</v>
      </c>
    </row>
    <row r="21" spans="2:9" x14ac:dyDescent="0.15">
      <c r="B21" s="109" t="s">
        <v>195</v>
      </c>
    </row>
    <row r="22" spans="2:9" ht="14.25" thickBot="1" x14ac:dyDescent="0.2"/>
    <row r="23" spans="2:9" ht="14.25" thickBot="1" x14ac:dyDescent="0.2">
      <c r="C23" s="382" t="s">
        <v>196</v>
      </c>
      <c r="D23" s="383"/>
      <c r="E23" s="383"/>
      <c r="F23" s="383"/>
      <c r="G23" s="383"/>
      <c r="H23" s="383"/>
      <c r="I23" s="384"/>
    </row>
  </sheetData>
  <mergeCells count="2">
    <mergeCell ref="D16:J16"/>
    <mergeCell ref="C23:I23"/>
  </mergeCells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Sheet11.CreateClass">
                <anchor moveWithCells="1">
                  <from>
                    <xdr:col>3</xdr:col>
                    <xdr:colOff>123825</xdr:colOff>
                    <xdr:row>24</xdr:row>
                    <xdr:rowOff>66675</xdr:rowOff>
                  </from>
                  <to>
                    <xdr:col>4</xdr:col>
                    <xdr:colOff>295275</xdr:colOff>
                    <xdr:row>26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4" baseType="variant">
      <vt:variant>
        <vt:lpstr>ワークシート</vt:lpstr>
      </vt:variant>
      <vt:variant>
        <vt:i4>24</vt:i4>
      </vt:variant>
      <vt:variant>
        <vt:lpstr>名前付き一覧</vt:lpstr>
      </vt:variant>
      <vt:variant>
        <vt:i4>18</vt:i4>
      </vt:variant>
    </vt:vector>
  </HeadingPairs>
  <TitlesOfParts>
    <vt:vector size="42" baseType="lpstr">
      <vt:lpstr>表紙</vt:lpstr>
      <vt:lpstr>設定</vt:lpstr>
      <vt:lpstr>ER図-RDB</vt:lpstr>
      <vt:lpstr>ER図</vt:lpstr>
      <vt:lpstr>テーブル一覧</vt:lpstr>
      <vt:lpstr>ﾃﾞｰﾀ種別IDﾏｽﾀ</vt:lpstr>
      <vt:lpstr>業務ｽﾍﾟｼｬﾘｽﾄﾏｽﾀ</vt:lpstr>
      <vt:lpstr>ｹｰｽ管理ID変換</vt:lpstr>
      <vt:lpstr>再計算ﾌﾗｸﾞ</vt:lpstr>
      <vt:lpstr>ﾘｽｸﾎﾟｲﾝﾄ</vt:lpstr>
      <vt:lpstr>ｲﾝｼﾃﾞﾝﾄ緊急度</vt:lpstr>
      <vt:lpstr>ｴｽｶ緊急度</vt:lpstr>
      <vt:lpstr>ﾃﾞｰﾀ種別ID変換</vt:lpstr>
      <vt:lpstr>経営ﾘｽｸ</vt:lpstr>
      <vt:lpstr>経営ﾘｽｸﾋﾞｭｰ</vt:lpstr>
      <vt:lpstr>経営ﾘｽｸｲﾝﾃﾞｯｸｽ</vt:lpstr>
      <vt:lpstr>教師ﾃﾞｰﾀ</vt:lpstr>
      <vt:lpstr>説明定数ﾏｽﾀ</vt:lpstr>
      <vt:lpstr>ｲﾝｼﾃﾞﾝﾄ緊急度ﾏｽﾀ</vt:lpstr>
      <vt:lpstr>ｴｽｶ緊急度ﾏｽﾀ</vt:lpstr>
      <vt:lpstr>命名規約</vt:lpstr>
      <vt:lpstr>log</vt:lpstr>
      <vt:lpstr>CREATETABLE出力</vt:lpstr>
      <vt:lpstr>PGM出力</vt:lpstr>
      <vt:lpstr>ER図!Print_Area</vt:lpstr>
      <vt:lpstr>'ER図-RDB'!Print_Area</vt:lpstr>
      <vt:lpstr>ｲﾝｼﾃﾞﾝﾄ緊急度!Print_Area</vt:lpstr>
      <vt:lpstr>ｲﾝｼﾃﾞﾝﾄ緊急度ﾏｽﾀ!Print_Area</vt:lpstr>
      <vt:lpstr>ｴｽｶ緊急度!Print_Area</vt:lpstr>
      <vt:lpstr>ｴｽｶ緊急度ﾏｽﾀ!Print_Area</vt:lpstr>
      <vt:lpstr>ｹｰｽ管理ID変換!Print_Area</vt:lpstr>
      <vt:lpstr>ﾃﾞｰﾀ種別IDﾏｽﾀ!Print_Area</vt:lpstr>
      <vt:lpstr>ﾃﾞｰﾀ種別ID変換!Print_Area</vt:lpstr>
      <vt:lpstr>テーブル一覧!Print_Area</vt:lpstr>
      <vt:lpstr>ﾘｽｸﾎﾟｲﾝﾄ!Print_Area</vt:lpstr>
      <vt:lpstr>教師ﾃﾞｰﾀ!Print_Area</vt:lpstr>
      <vt:lpstr>業務ｽﾍﾟｼｬﾘｽﾄﾏｽﾀ!Print_Area</vt:lpstr>
      <vt:lpstr>経営ﾘｽｸ!Print_Area</vt:lpstr>
      <vt:lpstr>経営ﾘｽｸｲﾝﾃﾞｯｸｽ!Print_Area</vt:lpstr>
      <vt:lpstr>経営ﾘｽｸﾋﾞｭｰ!Print_Area</vt:lpstr>
      <vt:lpstr>再計算ﾌﾗｸﾞ!Print_Area</vt:lpstr>
      <vt:lpstr>説明定数ﾏｽﾀ!Print_Area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2021-08-07T08:00:36Z</dcterms:modified>
</cp:coreProperties>
</file>